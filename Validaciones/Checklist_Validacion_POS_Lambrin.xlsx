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yecto_PDV-CDC\Validaciones\"/>
    </mc:Choice>
  </mc:AlternateContent>
  <xr:revisionPtr revIDLastSave="0" documentId="13_ncr:1_{39513A98-B4C9-4F6C-B222-8E0B46C66058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Resumen" sheetId="1" r:id="rId1"/>
    <sheet name="Fase 1" sheetId="2" r:id="rId2"/>
    <sheet name="Fase 2" sheetId="3" r:id="rId3"/>
    <sheet name="Transversales y entrega" sheetId="4" r:id="rId4"/>
    <sheet name="Guía de validación" sheetId="5" r:id="rId5"/>
    <sheet name="Catálog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4" l="1"/>
  <c r="B10" i="4"/>
  <c r="B9" i="4"/>
  <c r="B8" i="4"/>
  <c r="B7" i="4"/>
  <c r="B6" i="4"/>
  <c r="B5" i="4"/>
  <c r="B12" i="4" s="1"/>
  <c r="B11" i="3"/>
  <c r="B10" i="3"/>
  <c r="B9" i="3"/>
  <c r="B8" i="3"/>
  <c r="E8" i="1" s="1"/>
  <c r="B7" i="3"/>
  <c r="E7" i="1" s="1"/>
  <c r="B6" i="3"/>
  <c r="E6" i="1" s="1"/>
  <c r="B5" i="3"/>
  <c r="B12" i="3" s="1"/>
  <c r="E12" i="1" s="1"/>
  <c r="B11" i="2"/>
  <c r="B11" i="1" s="1"/>
  <c r="B10" i="2"/>
  <c r="B10" i="1" s="1"/>
  <c r="B9" i="2"/>
  <c r="B9" i="1" s="1"/>
  <c r="B8" i="2"/>
  <c r="B8" i="1" s="1"/>
  <c r="B7" i="2"/>
  <c r="B7" i="1" s="1"/>
  <c r="B6" i="2"/>
  <c r="B6" i="1" s="1"/>
  <c r="B5" i="2"/>
  <c r="E11" i="1"/>
  <c r="E10" i="1"/>
  <c r="E9" i="1"/>
  <c r="B5" i="1"/>
  <c r="B12" i="2" l="1"/>
  <c r="B12" i="1" s="1"/>
  <c r="E5" i="1"/>
</calcChain>
</file>

<file path=xl/sharedStrings.xml><?xml version="1.0" encoding="utf-8"?>
<sst xmlns="http://schemas.openxmlformats.org/spreadsheetml/2006/main" count="1472" uniqueCount="749">
  <si>
    <t>RESUMEN DE AVANCE - SISTEMA POS Y TIENDA EN LÍNEA DE LAMBRÍN</t>
  </si>
  <si>
    <t>INDICADORES FASE 1</t>
  </si>
  <si>
    <t>INDICADORES FASE 2</t>
  </si>
  <si>
    <t>Total de criterios</t>
  </si>
  <si>
    <t>Cumple</t>
  </si>
  <si>
    <t>Parcial</t>
  </si>
  <si>
    <t>No cumple</t>
  </si>
  <si>
    <t>En revisión</t>
  </si>
  <si>
    <t>Bloqueado</t>
  </si>
  <si>
    <t>Pendiente</t>
  </si>
  <si>
    <t>Avance efectivo</t>
  </si>
  <si>
    <t>Uso rápido</t>
  </si>
  <si>
    <t>1. Trabaja en las hojas Fase 1 o Fase 2; cada una tiene sus propios indicadores.</t>
  </si>
  <si>
    <t>2. Responsable ofrece Aaron, David o Mantenimiento.</t>
  </si>
  <si>
    <t>3. Fecha validación ofrece fechas rápidas desde 15 días atrás hasta 15 días adelante.</t>
  </si>
  <si>
    <t>4. Para obtener un PDF actualizado después de marcar: Archivo &gt; Exportar/Guardar como &gt; PDF.</t>
  </si>
  <si>
    <t>5. La hoja Transversales y entrega conserva seguridad, arquitectura y entregables fuera de una fase única.</t>
  </si>
  <si>
    <t>CHECKLIST - FASE 1: PUNTO DE VENTA</t>
  </si>
  <si>
    <t>Indicador</t>
  </si>
  <si>
    <t>Valor</t>
  </si>
  <si>
    <t>ID</t>
  </si>
  <si>
    <t>Fase</t>
  </si>
  <si>
    <t>Módulo</t>
  </si>
  <si>
    <t>Tipo de prueba</t>
  </si>
  <si>
    <t>Requisito / criterio</t>
  </si>
  <si>
    <t>Cómo validarlo</t>
  </si>
  <si>
    <t>Resultado esperado</t>
  </si>
  <si>
    <t>Prioridad</t>
  </si>
  <si>
    <t>Estado</t>
  </si>
  <si>
    <t>Evidencia / enlace</t>
  </si>
  <si>
    <t>Incidencia</t>
  </si>
  <si>
    <t>Responsable</t>
  </si>
  <si>
    <t>Fecha validación</t>
  </si>
  <si>
    <t>Fuente</t>
  </si>
  <si>
    <t>CHK-001</t>
  </si>
  <si>
    <t>Fase 1</t>
  </si>
  <si>
    <t>Login</t>
  </si>
  <si>
    <t>Funcional</t>
  </si>
  <si>
    <t>El usuario puede iniciar sesión con credenciales válidas</t>
  </si>
  <si>
    <t>Probar usuario activo con contraseña correcta</t>
  </si>
  <si>
    <t>Acceso permitido y sesión creada</t>
  </si>
  <si>
    <t>Crítica</t>
  </si>
  <si>
    <t>Propuesta PDF</t>
  </si>
  <si>
    <t>CHK-002</t>
  </si>
  <si>
    <t>Negativa</t>
  </si>
  <si>
    <t>Rechazo de credenciales inválidas</t>
  </si>
  <si>
    <t>Probar contraseña incorrecta y usuario inexistente</t>
  </si>
  <si>
    <t>No permite acceso y muestra mensaje seguro</t>
  </si>
  <si>
    <t>Validación técnica recomendada</t>
  </si>
  <si>
    <t>CHK-003</t>
  </si>
  <si>
    <t>Seguridad</t>
  </si>
  <si>
    <t>Control de intentos y cierre de sesión</t>
  </si>
  <si>
    <t>Forzar intentos fallidos; cerrar sesión y reutilizar URL</t>
  </si>
  <si>
    <t>Sesión invalidada; no expone datos sensibles</t>
  </si>
  <si>
    <t>Alta</t>
  </si>
  <si>
    <t>CHK-004</t>
  </si>
  <si>
    <t>Rutas protegidas según autenticación</t>
  </si>
  <si>
    <t>Abrir rutas internas sin sesión o con token vencido</t>
  </si>
  <si>
    <t>Redirige a login o responde 401</t>
  </si>
  <si>
    <t>CHK-005</t>
  </si>
  <si>
    <t>Empleados</t>
  </si>
  <si>
    <t>CRUD</t>
  </si>
  <si>
    <t>Alta, consulta, edición y baja lógica de empleados</t>
  </si>
  <si>
    <t>Crear empleado, editarlo, consultarlo y desactivarlo</t>
  </si>
  <si>
    <t>Cambios persistidos; el histórico no se pierde</t>
  </si>
  <si>
    <t>CHK-006</t>
  </si>
  <si>
    <t>Validación</t>
  </si>
  <si>
    <t>Datos obligatorios y duplicados</t>
  </si>
  <si>
    <t>Omitir campos requeridos y repetir identificador/correo</t>
  </si>
  <si>
    <t>Bloquea datos inválidos con mensajes claros</t>
  </si>
  <si>
    <t>CHK-007</t>
  </si>
  <si>
    <t>Integración</t>
  </si>
  <si>
    <t>Empleado vinculado con usuario, rol y bitácora</t>
  </si>
  <si>
    <t>Asignar rol y revisar registro de cambios</t>
  </si>
  <si>
    <t>Acceso coincide con rol y queda auditado</t>
  </si>
  <si>
    <t>CHK-008</t>
  </si>
  <si>
    <t>Roles y permisos</t>
  </si>
  <si>
    <t>Administración de roles y permisos por módulo</t>
  </si>
  <si>
    <t>Crear rol y asignar consultar/crear/editar/eliminar/aprobar/exportar</t>
  </si>
  <si>
    <t>Permisos guardados y visibles</t>
  </si>
  <si>
    <t>CHK-009</t>
  </si>
  <si>
    <t>La API aplica permisos, no solo la interfaz</t>
  </si>
  <si>
    <t>Invocar endpoint restringido con usuario sin permiso</t>
  </si>
  <si>
    <t>API responde 403 y no altera datos</t>
  </si>
  <si>
    <t>CHK-010</t>
  </si>
  <si>
    <t>Regla</t>
  </si>
  <si>
    <t>Permisos especiales para descuentos, precios, cancelaciones y devoluciones</t>
  </si>
  <si>
    <t>Probar cada operación con y sin privilegio</t>
  </si>
  <si>
    <t>Solo roles autorizados completan la operación</t>
  </si>
  <si>
    <t>CHK-011</t>
  </si>
  <si>
    <t>Panel principal y POS</t>
  </si>
  <si>
    <t>Panel muestra indicadores operativos útiles</t>
  </si>
  <si>
    <t>Comparar indicadores con ventas, caja e inventario de prueba</t>
  </si>
  <si>
    <t>Totales y estados coinciden con datos origen</t>
  </si>
  <si>
    <t>Media</t>
  </si>
  <si>
    <t>Propuesta PDF / validar definición con cliente</t>
  </si>
  <si>
    <t>CHK-012</t>
  </si>
  <si>
    <t>Venta</t>
  </si>
  <si>
    <t>Carrito agrega, modifica y elimina productos</t>
  </si>
  <si>
    <t>Agregar varios productos, cambiar cantidad y retirar uno</t>
  </si>
  <si>
    <t>Subtotales y total se recalculan correctamente</t>
  </si>
  <si>
    <t>CHK-013</t>
  </si>
  <si>
    <t>Hardware</t>
  </si>
  <si>
    <t>Escaneo con pistola USB</t>
  </si>
  <si>
    <t>Escanear códigos existentes, repetidos e inexistentes</t>
  </si>
  <si>
    <t>Agrega producto correcto; maneja códigos inválidos</t>
  </si>
  <si>
    <t>CHK-014</t>
  </si>
  <si>
    <t>Venta con pago total o anticipo</t>
  </si>
  <si>
    <t>Registrar ambos escenarios y consultar el pedido</t>
  </si>
  <si>
    <t>Saldo y estado quedan correctos</t>
  </si>
  <si>
    <t>CHK-015</t>
  </si>
  <si>
    <t>Descuento y modificación manual de precio requieren autorización</t>
  </si>
  <si>
    <t>Probar vendedor y administrador</t>
  </si>
  <si>
    <t>Solo rol autorizado modifica; acción auditada</t>
  </si>
  <si>
    <t>CHK-016</t>
  </si>
  <si>
    <t>Cálculo</t>
  </si>
  <si>
    <t>Totales, descuentos e impuestos no presentan diferencias</t>
  </si>
  <si>
    <t>Comparar cálculo manual en artículos, cantidades y descuentos</t>
  </si>
  <si>
    <t>Importes exactos y redondeo consistente</t>
  </si>
  <si>
    <t>CHK-017</t>
  </si>
  <si>
    <t>Anticipos y apartados</t>
  </si>
  <si>
    <t>Apartado registra material, porcentaje, saldo y fecha de entrega</t>
  </si>
  <si>
    <t>Crear apartado con porcentaje configurable</t>
  </si>
  <si>
    <t>Reserva inventario y calcula saldo</t>
  </si>
  <si>
    <t>CHK-018</t>
  </si>
  <si>
    <t>Abonos reducen el saldo sin excederlo</t>
  </si>
  <si>
    <t>Aplicar abonos parciales, exactos y superiores al saldo</t>
  </si>
  <si>
    <t>Actualiza saldo; bloquea o controla sobrepago</t>
  </si>
  <si>
    <t>CHK-019</t>
  </si>
  <si>
    <t>Conversión de apartado a venta liquidada</t>
  </si>
  <si>
    <t>Liquidar saldo y convertir</t>
  </si>
  <si>
    <t>Venta queda liquidada, trazable y sin duplicar inventario</t>
  </si>
  <si>
    <t>CHK-020</t>
  </si>
  <si>
    <t>Documento</t>
  </si>
  <si>
    <t>Cada transacción genera recibo PDF</t>
  </si>
  <si>
    <t>Registrar anticipo y abono; descargar recibos</t>
  </si>
  <si>
    <t>PDF legible con folio, cliente, importes y fecha</t>
  </si>
  <si>
    <t>CHK-021</t>
  </si>
  <si>
    <t>Clientes</t>
  </si>
  <si>
    <t>Alta, consulta, edición y baja lógica de clientes</t>
  </si>
  <si>
    <t>Ejecutar ciclo CRUD y búsqueda</t>
  </si>
  <si>
    <t>Información persiste y es localizable</t>
  </si>
  <si>
    <t>CHK-022</t>
  </si>
  <si>
    <t>Historial</t>
  </si>
  <si>
    <t>Historial unificado de cotizaciones, pedidos, pagos, envíos y documentos</t>
  </si>
  <si>
    <t>Generar movimientos y abrir expediente</t>
  </si>
  <si>
    <t>Todos los registros aparecen vinculados</t>
  </si>
  <si>
    <t>CHK-023</t>
  </si>
  <si>
    <t>Direcciones y precios especiales para mayoristas</t>
  </si>
  <si>
    <t>Registrar varias direcciones y tarifa especial</t>
  </si>
  <si>
    <t>POS aplica datos correctos según cliente</t>
  </si>
  <si>
    <t>CHK-024</t>
  </si>
  <si>
    <t>Evita duplicados y valida contacto</t>
  </si>
  <si>
    <t>Repetir datos clave y usar formatos inválidos</t>
  </si>
  <si>
    <t>Advierte o bloquea según regla definida</t>
  </si>
  <si>
    <t>CHK-025</t>
  </si>
  <si>
    <t>Productos</t>
  </si>
  <si>
    <t>Alta, consulta, edición y baja lógica de productos</t>
  </si>
  <si>
    <t>Crear producto completo, editar y desactivar</t>
  </si>
  <si>
    <t>Catálogo actualizado sin perder histórico</t>
  </si>
  <si>
    <t>CHK-026</t>
  </si>
  <si>
    <t>Catálogo</t>
  </si>
  <si>
    <t>Clasificación multinivel, categorías, modelos y filtros</t>
  </si>
  <si>
    <t>Crear jerarquía y filtrar catálogo</t>
  </si>
  <si>
    <t>Resultados corresponden a criterios</t>
  </si>
  <si>
    <t>CHK-027</t>
  </si>
  <si>
    <t>Contenido</t>
  </si>
  <si>
    <t>Galería ampliable, ficha y especificaciones técnicas</t>
  </si>
  <si>
    <t>Cargar varias imágenes y datos técnicos</t>
  </si>
  <si>
    <t>Visualización correcta y archivos válidos</t>
  </si>
  <si>
    <t>CHK-028</t>
  </si>
  <si>
    <t>Accesorios compatibles, stock y modalidad compra/cotización</t>
  </si>
  <si>
    <t>Configurar combinaciones y consultar producto</t>
  </si>
  <si>
    <t>Muestra relaciones, disponibilidad y modalidad correcta</t>
  </si>
  <si>
    <t>CHK-029</t>
  </si>
  <si>
    <t>Carga masiva</t>
  </si>
  <si>
    <t>Plantilla de carga importa productos y reporta errores</t>
  </si>
  <si>
    <t>Cargar archivo válido y otro con errores</t>
  </si>
  <si>
    <t>Importa válidos sin duplicar; devuelve detalle de errores</t>
  </si>
  <si>
    <t>CHK-030</t>
  </si>
  <si>
    <t>Inventario</t>
  </si>
  <si>
    <t>Existencias</t>
  </si>
  <si>
    <t>Entradas, salidas y reservas actualizan existencias</t>
  </si>
  <si>
    <t>Ejecutar compra/ajuste/venta/apartado/devolución</t>
  </si>
  <si>
    <t>Existencia disponible y reservada coincide</t>
  </si>
  <si>
    <t>CHK-031</t>
  </si>
  <si>
    <t>Concurrencia</t>
  </si>
  <si>
    <t>Dos ventas simultáneas no generan stock negativo</t>
  </si>
  <si>
    <t>Procesar ventas concurrentes de la última unidad</t>
  </si>
  <si>
    <t>Solo una se confirma o se aplica regla definida</t>
  </si>
  <si>
    <t>CHK-032</t>
  </si>
  <si>
    <t>No permite salida mayor a existencia salvo autorización definida</t>
  </si>
  <si>
    <t>Intentar vender o ajustar por encima del stock</t>
  </si>
  <si>
    <t>Bloquea y explica la causa</t>
  </si>
  <si>
    <t>CHK-033</t>
  </si>
  <si>
    <t>Consulta</t>
  </si>
  <si>
    <t>Estado de stock y alertas coinciden con movimientos</t>
  </si>
  <si>
    <t>Comparar kardex contra existencia actual</t>
  </si>
  <si>
    <t>Saldo inicial + entradas - salidas = existencia</t>
  </si>
  <si>
    <t>CHK-034</t>
  </si>
  <si>
    <t>Movimientos</t>
  </si>
  <si>
    <t>Trazabilidad</t>
  </si>
  <si>
    <t>Cada movimiento tiene tipo, origen, cantidad, usuario y fecha</t>
  </si>
  <si>
    <t>Revisar movimientos generados por cada flujo</t>
  </si>
  <si>
    <t>Registro completo y vinculado al documento origen</t>
  </si>
  <si>
    <t>CHK-035</t>
  </si>
  <si>
    <t>Filtros y exportación de movimientos</t>
  </si>
  <si>
    <t>Filtrar por fechas, producto y tipo; exportar</t>
  </si>
  <si>
    <t>Pantalla y archivo contienen el mismo conjunto</t>
  </si>
  <si>
    <t>CHK-036</t>
  </si>
  <si>
    <t>Integridad</t>
  </si>
  <si>
    <t>No se editan movimientos históricos directamente</t>
  </si>
  <si>
    <t>Intentar modificar o eliminar desde UI/API</t>
  </si>
  <si>
    <t>Operación bloqueada; corrección mediante contramovimiento</t>
  </si>
  <si>
    <t>CHK-037</t>
  </si>
  <si>
    <t>Pedidos y ventas</t>
  </si>
  <si>
    <t>Flujo</t>
  </si>
  <si>
    <t>Estados completos de pedido y transiciones válidas</t>
  </si>
  <si>
    <t>Recorrer creación, confirmación, preparación, envío, entrega/cancelación</t>
  </si>
  <si>
    <t>Solo permite transiciones autorizadas y quedan auditadas</t>
  </si>
  <si>
    <t>CHK-038</t>
  </si>
  <si>
    <t>Folio</t>
  </si>
  <si>
    <t>Folio único y datos completos de venta</t>
  </si>
  <si>
    <t>Crear ventas consecutivas y concurrentes</t>
  </si>
  <si>
    <t>Folios no se duplican</t>
  </si>
  <si>
    <t>CHK-039</t>
  </si>
  <si>
    <t>Venta afecta inventario, caja, cliente y reportes una sola vez</t>
  </si>
  <si>
    <t>Completar venta y revisar módulos relacionados</t>
  </si>
  <si>
    <t>Todos reflejan la misma operación sin duplicidad</t>
  </si>
  <si>
    <t>CHK-040</t>
  </si>
  <si>
    <t>Cancelación</t>
  </si>
  <si>
    <t>Cancelación autorizada revierte efectos según regla</t>
  </si>
  <si>
    <t>Cancelar venta pagada y no pagada</t>
  </si>
  <si>
    <t>Inventario, caja, saldo y bitácora quedan consistentes</t>
  </si>
  <si>
    <t>CHK-041</t>
  </si>
  <si>
    <t>Devoluciones</t>
  </si>
  <si>
    <t>Devolución total o parcial ligada a venta original</t>
  </si>
  <si>
    <t>Devolver una parte y luego el resto</t>
  </si>
  <si>
    <t>Cantidades y saldos no exceden lo vendido</t>
  </si>
  <si>
    <t>CHK-042</t>
  </si>
  <si>
    <t>Autorización</t>
  </si>
  <si>
    <t>Solo roles autorizados aprueban devoluciones</t>
  </si>
  <si>
    <t>Probar con vendedor y administrador</t>
  </si>
  <si>
    <t>Permiso aplicado en UI y API</t>
  </si>
  <si>
    <t>CHK-043</t>
  </si>
  <si>
    <t>Devolución ajusta inventario, caja/pago y documentos</t>
  </si>
  <si>
    <t>Completar devolución y revisar efectos</t>
  </si>
  <si>
    <t>Datos y recibo/notas quedan reconciliados</t>
  </si>
  <si>
    <t>CHK-044</t>
  </si>
  <si>
    <t>Pagos, abonos y transacciones</t>
  </si>
  <si>
    <t>Registra pagos y abonos con método, importe, referencia y fecha</t>
  </si>
  <si>
    <t>Probar métodos acordados y pagos parciales</t>
  </si>
  <si>
    <t>Transacción persistida y vinculada</t>
  </si>
  <si>
    <t>CHK-045</t>
  </si>
  <si>
    <t>Evita importe cero, negativo, duplicado o superior no permitido</t>
  </si>
  <si>
    <t>Enviar escenarios inválidos y doble clic/reintento</t>
  </si>
  <si>
    <t>No duplica cobros; muestra validación</t>
  </si>
  <si>
    <t>CHK-046</t>
  </si>
  <si>
    <t>Conciliación</t>
  </si>
  <si>
    <t>Suma de transacciones coincide con total pagado y saldo</t>
  </si>
  <si>
    <t>Comparar historial con pedido y caja</t>
  </si>
  <si>
    <t>Ecuación total = pagado + saldo se cumple</t>
  </si>
  <si>
    <t>CHK-047</t>
  </si>
  <si>
    <t>Recibo PDF por cada transacción</t>
  </si>
  <si>
    <t>Descargar y contrastar con datos de la operación</t>
  </si>
  <si>
    <t>Folio e importes correctos; PDF legible</t>
  </si>
  <si>
    <t>CHK-048</t>
  </si>
  <si>
    <t>Soporte documental</t>
  </si>
  <si>
    <t>Archivos</t>
  </si>
  <si>
    <t>Carga de identificaciones, comprobantes, fotos y PDF</t>
  </si>
  <si>
    <t>Subir formatos/tamaños válidos e inválidos</t>
  </si>
  <si>
    <t>Acepta permitidos, rechaza riesgosos y vincula al expediente</t>
  </si>
  <si>
    <t>CHK-049</t>
  </si>
  <si>
    <t>Plantillas</t>
  </si>
  <si>
    <t>Contratos editables y exportación PDF A4</t>
  </si>
  <si>
    <t>Editar plantilla y generar contrato</t>
  </si>
  <si>
    <t>Variables se sustituyen y diseño no se corta</t>
  </si>
  <si>
    <t>CHK-050</t>
  </si>
  <si>
    <t>Acceso a documentos respeta permisos</t>
  </si>
  <si>
    <t>Abrir URL directa con usuario no autorizado</t>
  </si>
  <si>
    <t>Acceso denegado y auditado</t>
  </si>
  <si>
    <t>CHK-051</t>
  </si>
  <si>
    <t>Promociones</t>
  </si>
  <si>
    <t>Promociones por producto, categoría, cliente, mayoreo y periodo</t>
  </si>
  <si>
    <t>Crear una regla de cada tipo y probar límites</t>
  </si>
  <si>
    <t>Se activa solo cuando corresponde</t>
  </si>
  <si>
    <t>CHK-052</t>
  </si>
  <si>
    <t>Conflictos</t>
  </si>
  <si>
    <t>Prioridad/acumulación de promociones está definida</t>
  </si>
  <si>
    <t>Aplicar dos promociones al mismo artículo</t>
  </si>
  <si>
    <t>Resultado sigue la regla acordada y es explicable</t>
  </si>
  <si>
    <t>CHK-053</t>
  </si>
  <si>
    <t>Fechas</t>
  </si>
  <si>
    <t>Respeta inicio, fin y zona horaria</t>
  </si>
  <si>
    <t>Probar antes, durante y después del periodo</t>
  </si>
  <si>
    <t>Promoción solo activa dentro de vigencia</t>
  </si>
  <si>
    <t>CHK-054</t>
  </si>
  <si>
    <t>Cotizaciones</t>
  </si>
  <si>
    <t>Cotización con vigencia, descuentos, observaciones y seguimiento</t>
  </si>
  <si>
    <t>Crear, editar, vencer y consultar cotización</t>
  </si>
  <si>
    <t>Estados e historial correctos</t>
  </si>
  <si>
    <t>CHK-055</t>
  </si>
  <si>
    <t>Generación de cotización PDF</t>
  </si>
  <si>
    <t>Comparar PDF con pantalla y datos del cliente</t>
  </si>
  <si>
    <t>Contenido completo, importes exactos y diseño legible</t>
  </si>
  <si>
    <t>CHK-056</t>
  </si>
  <si>
    <t>Conversión</t>
  </si>
  <si>
    <t>Conversión a pedido sin recaptura ni duplicados</t>
  </si>
  <si>
    <t>Convertir una vez e intentar repetir</t>
  </si>
  <si>
    <t>Pedido conserva datos; segunda conversión controlada</t>
  </si>
  <si>
    <t>CHK-057</t>
  </si>
  <si>
    <t>Envíos</t>
  </si>
  <si>
    <t>Registro de dirección, estado, fechas y referencia de envío</t>
  </si>
  <si>
    <t>Crear y actualizar envío ligado a pedido</t>
  </si>
  <si>
    <t>Seguimiento visible y consistente</t>
  </si>
  <si>
    <t>CHK-058</t>
  </si>
  <si>
    <t>No permite enviar pedido cancelado o sin condición requerida</t>
  </si>
  <si>
    <t>Probar estados incompatibles</t>
  </si>
  <si>
    <t>Bloquea transición inválida</t>
  </si>
  <si>
    <t>CHK-059</t>
  </si>
  <si>
    <t>Cliente y reportes muestran el envío</t>
  </si>
  <si>
    <t>Consultar historial y reporte</t>
  </si>
  <si>
    <t>Datos coinciden con pedido</t>
  </si>
  <si>
    <t>CHK-060</t>
  </si>
  <si>
    <t>Bitácora</t>
  </si>
  <si>
    <t>Auditoría</t>
  </si>
  <si>
    <t>Registra usuario, acción, fecha, hora/minuto y valores antes/después</t>
  </si>
  <si>
    <t>Crear, editar y cancelar entidades críticas</t>
  </si>
  <si>
    <t>Cada cambio produce registro suficiente</t>
  </si>
  <si>
    <t>CHK-061</t>
  </si>
  <si>
    <t>Cobertura</t>
  </si>
  <si>
    <t>Audita precios, pedidos, productos, inventario, pagos, documentos y accesos</t>
  </si>
  <si>
    <t>Ejecutar al menos una acción por categoría</t>
  </si>
  <si>
    <t>Todas aparecen en bitácora</t>
  </si>
  <si>
    <t>CHK-062</t>
  </si>
  <si>
    <t>Inmutabilidad</t>
  </si>
  <si>
    <t>Registros no se modifican ni eliminan desde aplicación</t>
  </si>
  <si>
    <t>Probar UI y endpoints con administrador</t>
  </si>
  <si>
    <t>No existe operación de cambio/borrado</t>
  </si>
  <si>
    <t>CHK-063</t>
  </si>
  <si>
    <t>Filtros permiten investigar una operación</t>
  </si>
  <si>
    <t>Filtrar por usuario, entidad, acción y periodo</t>
  </si>
  <si>
    <t>Se localiza el historial completo</t>
  </si>
  <si>
    <t>CHK-064</t>
  </si>
  <si>
    <t>Descuentos</t>
  </si>
  <si>
    <t>Descuentos por contexto y límites por rol</t>
  </si>
  <si>
    <t>Probar porcentajes dentro y fuera del límite</t>
  </si>
  <si>
    <t>Aplica o solicita autorización según rol</t>
  </si>
  <si>
    <t>CHK-065</t>
  </si>
  <si>
    <t>Base y orden de aplicación están definidos</t>
  </si>
  <si>
    <t>Combinar descuento de línea, general y promoción</t>
  </si>
  <si>
    <t>Total coincide con regla acordada</t>
  </si>
  <si>
    <t>CHK-066</t>
  </si>
  <si>
    <t>Cambio manual conserva motivo y autorización</t>
  </si>
  <si>
    <t>Aplicar descuento excepcional</t>
  </si>
  <si>
    <t>Bitácora muestra usuario, motivo y valores</t>
  </si>
  <si>
    <t>CHK-067</t>
  </si>
  <si>
    <t>Caja</t>
  </si>
  <si>
    <t>Apertura</t>
  </si>
  <si>
    <t>Apertura registra turno, usuario y monto inicial</t>
  </si>
  <si>
    <t>Abrir caja con y sin turno válido</t>
  </si>
  <si>
    <t>Solo abre una caja válida y guarda importe</t>
  </si>
  <si>
    <t>CHK-068</t>
  </si>
  <si>
    <t>Ingresos, retiros, ventas, anticipos y devoluciones afectan caja</t>
  </si>
  <si>
    <t>Registrar cada concepto y comparar saldo</t>
  </si>
  <si>
    <t>Saldo teórico coincide con movimientos</t>
  </si>
  <si>
    <t>CHK-069</t>
  </si>
  <si>
    <t>Cierre</t>
  </si>
  <si>
    <t>Cierre calcula esperado, contado y diferencia</t>
  </si>
  <si>
    <t>Cerrar con coincidencia y con faltante/sobrante</t>
  </si>
  <si>
    <t>Registra diferencia y requiere motivo según regla</t>
  </si>
  <si>
    <t>CHK-070</t>
  </si>
  <si>
    <t>No se registran operaciones en caja cerrada</t>
  </si>
  <si>
    <t>Intentar venta/pago después del cierre</t>
  </si>
  <si>
    <t>Operación bloqueada o redirigida según regla</t>
  </si>
  <si>
    <t>CHK-071</t>
  </si>
  <si>
    <t>Turnos y cortes</t>
  </si>
  <si>
    <t>Inicio y fin de turno con responsable</t>
  </si>
  <si>
    <t>Abrir, operar y cerrar turno</t>
  </si>
  <si>
    <t>Fechas, usuario y caja quedan vinculados</t>
  </si>
  <si>
    <t>CHK-072</t>
  </si>
  <si>
    <t>Corte</t>
  </si>
  <si>
    <t>Corte por turno desglosa conceptos y métodos</t>
  </si>
  <si>
    <t>Comparar corte con transacciones del periodo</t>
  </si>
  <si>
    <t>Totales reconciliados sin movimientos omitidos</t>
  </si>
  <si>
    <t>CHK-073</t>
  </si>
  <si>
    <t>Control</t>
  </si>
  <si>
    <t>No permite turnos solapados no autorizados</t>
  </si>
  <si>
    <t>Abrir segundo turno/caja incompatible</t>
  </si>
  <si>
    <t>Sistema aplica restricción definida</t>
  </si>
  <si>
    <t>CHK-074</t>
  </si>
  <si>
    <t>Reportes generales</t>
  </si>
  <si>
    <t>Reportes de ventas, pedidos, cotizaciones, anticipos, saldos, inventario, movimientos, clientes, caja, envíos, devoluciones y usuarios</t>
  </si>
  <si>
    <t>Ejecutar cada reporte con datos controlados</t>
  </si>
  <si>
    <t>Incluye campos y totales acordados</t>
  </si>
  <si>
    <t>CHK-075</t>
  </si>
  <si>
    <t>Filtros</t>
  </si>
  <si>
    <t>Filtros por fechas y criterios del reporte</t>
  </si>
  <si>
    <t>Comparar resultados sin filtro y con filtro</t>
  </si>
  <si>
    <t>Solo incluye registros correspondientes</t>
  </si>
  <si>
    <t>CHK-076</t>
  </si>
  <si>
    <t>Exportación</t>
  </si>
  <si>
    <t>Exportación PDF y Excel</t>
  </si>
  <si>
    <t>Exportar cada reporte representativo</t>
  </si>
  <si>
    <t>Archivos abren, conservan filtros y totales</t>
  </si>
  <si>
    <t>CHK-077</t>
  </si>
  <si>
    <t>Rendimiento</t>
  </si>
  <si>
    <t>Reportes responden con volumen realista</t>
  </si>
  <si>
    <t>Cargar datos de prueba y medir consultas</t>
  </si>
  <si>
    <t>Tiempo aceptable acordado; no bloquea operación</t>
  </si>
  <si>
    <t>CHECKLIST - FASE 2: TIENDA EN LÍNEA Y ATENCIÓN</t>
  </si>
  <si>
    <t>CHK-078</t>
  </si>
  <si>
    <t>Fase 2</t>
  </si>
  <si>
    <t>Tienda en línea</t>
  </si>
  <si>
    <t>UI</t>
  </si>
  <si>
    <t>Página pública responsiva de productos y categorías</t>
  </si>
  <si>
    <t>Probar computadora, tableta y móvil</t>
  </si>
  <si>
    <t>Navegación usable sin desbordes</t>
  </si>
  <si>
    <t>CHK-079</t>
  </si>
  <si>
    <t>Buscador, filtros, fichas, imágenes y disponibilidad</t>
  </si>
  <si>
    <t>Buscar y filtrar casos conocidos</t>
  </si>
  <si>
    <t>Resultados y stock coinciden con sistema interno</t>
  </si>
  <si>
    <t>CHK-080</t>
  </si>
  <si>
    <t>Distingue compra directa y solo cotización</t>
  </si>
  <si>
    <t>Abrir productos de ambas modalidades</t>
  </si>
  <si>
    <t>Solo permite la acción configurada</t>
  </si>
  <si>
    <t>CHK-081</t>
  </si>
  <si>
    <t>Carrito web</t>
  </si>
  <si>
    <t>Cantidades, subtotales, descuentos y total</t>
  </si>
  <si>
    <t>Modificar cantidades y promociones</t>
  </si>
  <si>
    <t>Cálculo coincide con POS y reglas centrales</t>
  </si>
  <si>
    <t>CHK-082</t>
  </si>
  <si>
    <t>Persistencia</t>
  </si>
  <si>
    <t>Carrito conserva estado conforme a diseño acordado</t>
  </si>
  <si>
    <t>Actualizar página/iniciar sesión/cambiar dispositivo según alcance</t>
  </si>
  <si>
    <t>Comportamiento coincide con definición</t>
  </si>
  <si>
    <t>CHK-083</t>
  </si>
  <si>
    <t>Cuenta de cliente</t>
  </si>
  <si>
    <t>Registro, login y recuperación de cuenta</t>
  </si>
  <si>
    <t>Probar alta, duplicado, acceso y recuperación</t>
  </si>
  <si>
    <t>Flujos seguros y mensajes correctos</t>
  </si>
  <si>
    <t>CHK-084</t>
  </si>
  <si>
    <t>Direcciones, historial y seguimiento de envíos</t>
  </si>
  <si>
    <t>Guardar direcciones y consultar pedidos</t>
  </si>
  <si>
    <t>Información propia, actualizada y aislada por cliente</t>
  </si>
  <si>
    <t>CHK-085</t>
  </si>
  <si>
    <t>Integración web-POS</t>
  </si>
  <si>
    <t>Productos, inventario, clientes, pedidos, anticipos y pagos comparten datos</t>
  </si>
  <si>
    <t>Crear pedido web y revisar operación interna</t>
  </si>
  <si>
    <t>Sincronización sin duplicados ni stock negativo</t>
  </si>
  <si>
    <t>CHK-086</t>
  </si>
  <si>
    <t>Pagos externos</t>
  </si>
  <si>
    <t>Alcance</t>
  </si>
  <si>
    <t>Preparación para métodos de pago y servicios externos</t>
  </si>
  <si>
    <t>Revisar interfaces/configuración sin asumir proveedor incluido</t>
  </si>
  <si>
    <t>Arquitectura extensible; proveedor queda fuera del precio</t>
  </si>
  <si>
    <t>CHK-087</t>
  </si>
  <si>
    <t>Atención al cliente</t>
  </si>
  <si>
    <t>Tickets</t>
  </si>
  <si>
    <t>Creación de tickets por empleados y clientes</t>
  </si>
  <si>
    <t>Crear ticket desde ambos canales</t>
  </si>
  <si>
    <t>Folio, origen y cliente correctos</t>
  </si>
  <si>
    <t>CHK-088</t>
  </si>
  <si>
    <t>Clasificación</t>
  </si>
  <si>
    <t>Clasificación por producto, sistema, pedidos, cotizaciones, devoluciones y entrega</t>
  </si>
  <si>
    <t>Crear casos de cada categoría</t>
  </si>
  <si>
    <t>Categoría y vínculo se guardan</t>
  </si>
  <si>
    <t>CHK-089</t>
  </si>
  <si>
    <t>Estados</t>
  </si>
  <si>
    <t>Nuevo, En proceso, Pendiente de respuesta, Resuelto, Cerrado y Reabierto</t>
  </si>
  <si>
    <t>Recorrer transiciones válidas e inválidas</t>
  </si>
  <si>
    <t>Estado e historial cumplen flujo</t>
  </si>
  <si>
    <t>CHK-090</t>
  </si>
  <si>
    <t>Asignación</t>
  </si>
  <si>
    <t>Asignación manual o automática</t>
  </si>
  <si>
    <t>Asignar y reasignar tickets</t>
  </si>
  <si>
    <t>Responsable correcto y evento auditado</t>
  </si>
  <si>
    <t>CHK-091</t>
  </si>
  <si>
    <t>Comunicaciones</t>
  </si>
  <si>
    <t>Mensajes, adjuntos y vínculos comerciales</t>
  </si>
  <si>
    <t>Responder, adjuntar y relacionar pedido/pago</t>
  </si>
  <si>
    <t>Conversación completa y documentos accesibles</t>
  </si>
  <si>
    <t>CHK-092</t>
  </si>
  <si>
    <t>Postventa</t>
  </si>
  <si>
    <t>Reclamos por daños, retrasos y descuentos no aplicados</t>
  </si>
  <si>
    <t>Registrar casos y solución</t>
  </si>
  <si>
    <t>Motivo, seguimiento y resolución trazables</t>
  </si>
  <si>
    <t>CHK-093</t>
  </si>
  <si>
    <t>SLA</t>
  </si>
  <si>
    <t>Recordatorios de 24/48 horas</t>
  </si>
  <si>
    <t>Crear tickets con antigüedad controlada</t>
  </si>
  <si>
    <t>Avisos se generan en tiempos definidos</t>
  </si>
  <si>
    <t>CHK-094</t>
  </si>
  <si>
    <t>Respuestas ES/ZH editables por administrador</t>
  </si>
  <si>
    <t>Crear, editar y usar plantillas</t>
  </si>
  <si>
    <t>Contenido e idioma correctos; permiso aplicado</t>
  </si>
  <si>
    <t>CHK-095</t>
  </si>
  <si>
    <t>Notificaciones</t>
  </si>
  <si>
    <t>Avisos de tickets nuevos, vencidos o pendientes</t>
  </si>
  <si>
    <t>Disparar cada condición</t>
  </si>
  <si>
    <t>Destinatarios reciben aviso sin duplicidad</t>
  </si>
  <si>
    <t>CHK-096</t>
  </si>
  <si>
    <t>Reportes</t>
  </si>
  <si>
    <t>Volumen, incidencias, tiempos y clientes con reclamos; PDF/Excel</t>
  </si>
  <si>
    <t>Comparar métricas con muestra controlada</t>
  </si>
  <si>
    <t>Totales y tiempos exactos; exportación válida</t>
  </si>
  <si>
    <t>CHK-097</t>
  </si>
  <si>
    <t>Roles</t>
  </si>
  <si>
    <t>Administrador, atención y vendedor respetan acceso previsto</t>
  </si>
  <si>
    <t>Probar matriz de permisos por rol</t>
  </si>
  <si>
    <t>Cada rol ve y ejecuta solo lo permitido</t>
  </si>
  <si>
    <t>CHK-098</t>
  </si>
  <si>
    <t>Creación, respuestas, cambios de estado y cierre son inmodificables</t>
  </si>
  <si>
    <t>Ejecutar flujo completo y revisar auditoría</t>
  </si>
  <si>
    <t>Historial completo e inalterable</t>
  </si>
  <si>
    <t>CHECKLIST - CRITERIOS TRANSVERSALES Y ENTREGA</t>
  </si>
  <si>
    <t>CHK-099</t>
  </si>
  <si>
    <t>Ambas</t>
  </si>
  <si>
    <t>Interfaz y compatibilidad</t>
  </si>
  <si>
    <t>Responsividad</t>
  </si>
  <si>
    <t>React adaptable a computadora, tableta y móvil</t>
  </si>
  <si>
    <t>Probar resoluciones y navegadores objetivo</t>
  </si>
  <si>
    <t>Sin controles cortados ni flujos inaccesibles</t>
  </si>
  <si>
    <t>CHK-100</t>
  </si>
  <si>
    <t>Idiomas</t>
  </si>
  <si>
    <t>Localización</t>
  </si>
  <si>
    <t>Interfaz en español y chino simplificado</t>
  </si>
  <si>
    <t>Cambiar idioma y recorrer módulos principales</t>
  </si>
  <si>
    <t>Textos, validaciones, PDFs y plantillas traducidos</t>
  </si>
  <si>
    <t>CHK-101</t>
  </si>
  <si>
    <t>Cambio de idioma se conserva según usuario/sesión</t>
  </si>
  <si>
    <t>Cambiar idioma, recargar y volver a entrar</t>
  </si>
  <si>
    <t>Preferencia se mantiene según diseño</t>
  </si>
  <si>
    <t>CHK-102</t>
  </si>
  <si>
    <t>Moneda</t>
  </si>
  <si>
    <t>MXN como moneda principal y preparación para otras monedas</t>
  </si>
  <si>
    <t>Revisar modelo, formatos y cálculos</t>
  </si>
  <si>
    <t>MXN consistente; no hay símbolos/decimales erróneos</t>
  </si>
  <si>
    <t>CHK-103</t>
  </si>
  <si>
    <t>API .NET 9</t>
  </si>
  <si>
    <t>Arquitectura</t>
  </si>
  <si>
    <t>Backend ASP.NET Core .NET 9 con API REST</t>
  </si>
  <si>
    <t>Revisar archivos de proyecto, endpoints y ejecución</t>
  </si>
  <si>
    <t>Compila en .NET 9 y expone contrato REST coherente</t>
  </si>
  <si>
    <t>CHK-104</t>
  </si>
  <si>
    <t>Calidad</t>
  </si>
  <si>
    <t>DTOs, validación, manejo global de errores, DI y operaciones async</t>
  </si>
  <si>
    <t>Revisión de código y pruebas de endpoints inválidos</t>
  </si>
  <si>
    <t>Sin exponer trazas; respuestas consistentes y código mantenible</t>
  </si>
  <si>
    <t>Validación técnica recomendada / antecedente de prompt no recuperado</t>
  </si>
  <si>
    <t>CHK-105</t>
  </si>
  <si>
    <t>Documentación</t>
  </si>
  <si>
    <t>API documentada y probada con OpenAPI/Swagger</t>
  </si>
  <si>
    <t>Abrir especificación y ejecutar operaciones</t>
  </si>
  <si>
    <t>Endpoints, modelos, códigos y autenticación documentados</t>
  </si>
  <si>
    <t>CHK-106</t>
  </si>
  <si>
    <t>SQL Server</t>
  </si>
  <si>
    <t>Esquema, llaves, relaciones e índices soportan reglas</t>
  </si>
  <si>
    <t>Revisar modelo y ejecutar pruebas de integridad</t>
  </si>
  <si>
    <t>No hay huérfanos, duplicados críticos ni consultas sin soporte</t>
  </si>
  <si>
    <t>CHK-107</t>
  </si>
  <si>
    <t>Migración</t>
  </si>
  <si>
    <t>Scripts crean y actualizan la base de forma repetible</t>
  </si>
  <si>
    <t>Ejecutar en BD limpia y actualizar una versión previa</t>
  </si>
  <si>
    <t>Instalación termina sin pasos ocultos ni pérdida de datos</t>
  </si>
  <si>
    <t>CHK-108</t>
  </si>
  <si>
    <t>Credenciales</t>
  </si>
  <si>
    <t>Contraseñas cifradas con hash y secretos fuera del código</t>
  </si>
  <si>
    <t>Revisar BD, repositorio y configuración</t>
  </si>
  <si>
    <t>No hay contraseñas legibles ni secretos versionados</t>
  </si>
  <si>
    <t>CHK-109</t>
  </si>
  <si>
    <t>Entradas</t>
  </si>
  <si>
    <t>Protección contra inyección, XSS, archivos peligrosos y acceso horizontal</t>
  </si>
  <si>
    <t>Ejecutar pruebas negativas representativas</t>
  </si>
  <si>
    <t>Entradas saneadas y acceso denegado correctamente</t>
  </si>
  <si>
    <t>CHK-110</t>
  </si>
  <si>
    <t>Transporte</t>
  </si>
  <si>
    <t>Uso de HTTPS y políticas de origen/configuración adecuadas</t>
  </si>
  <si>
    <t>Revisar despliegue y llamadas del navegador</t>
  </si>
  <si>
    <t>Tráfico protegido y CORS limitado a orígenes autorizados</t>
  </si>
  <si>
    <t>CHK-111</t>
  </si>
  <si>
    <t>Operación</t>
  </si>
  <si>
    <t>Listas paginadas y consultas no descargan datos ilimitados</t>
  </si>
  <si>
    <t>Probar catálogos e historiales con volumen</t>
  </si>
  <si>
    <t>Respuesta estable y paginación funcional</t>
  </si>
  <si>
    <t>CHK-112</t>
  </si>
  <si>
    <t>Confiabilidad</t>
  </si>
  <si>
    <t>Transacciones</t>
  </si>
  <si>
    <t>Operaciones críticas son atómicas</t>
  </si>
  <si>
    <t>Forzar fallo durante venta/pago/devolución</t>
  </si>
  <si>
    <t>No quedan estados parciales</t>
  </si>
  <si>
    <t>CHK-113</t>
  </si>
  <si>
    <t>Reintentos</t>
  </si>
  <si>
    <t>Doble clic o reenvío no duplica venta/pago/pedido</t>
  </si>
  <si>
    <t>Repetir solicitud idéntica</t>
  </si>
  <si>
    <t>Una sola operación efectiva</t>
  </si>
  <si>
    <t>CHK-114</t>
  </si>
  <si>
    <t>Pruebas</t>
  </si>
  <si>
    <t>Automatización</t>
  </si>
  <si>
    <t>Pruebas unitarias e integración cubren reglas críticas</t>
  </si>
  <si>
    <t>Ejecutar suite y revisar resultados</t>
  </si>
  <si>
    <t>Suite reproducible sin fallos; cobertura crítica documentada</t>
  </si>
  <si>
    <t>CHK-115</t>
  </si>
  <si>
    <t>Despliegue</t>
  </si>
  <si>
    <t>Configuración</t>
  </si>
  <si>
    <t>Ambientes y variables configurables sin recompilar</t>
  </si>
  <si>
    <t>Probar configuración de desarrollo/pruebas/producción</t>
  </si>
  <si>
    <t>Conexiones y URLs cambian por entorno</t>
  </si>
  <si>
    <t>CHK-116</t>
  </si>
  <si>
    <t>Respaldo</t>
  </si>
  <si>
    <t>Existe procedimiento probado de respaldo y restauración</t>
  </si>
  <si>
    <t>Crear respaldo y restaurar en instancia de prueba</t>
  </si>
  <si>
    <t>Datos recuperables y tiempos documentados</t>
  </si>
  <si>
    <t>Validación técnica recomendada; infraestructura no incluida</t>
  </si>
  <si>
    <t>CHK-117</t>
  </si>
  <si>
    <t>Entrega</t>
  </si>
  <si>
    <t>Entregables</t>
  </si>
  <si>
    <t>Sistema</t>
  </si>
  <si>
    <t>Sistema funcional y adaptable de las fases aprobadas</t>
  </si>
  <si>
    <t>Ejecutar acta de pruebas sin defectos bloqueantes</t>
  </si>
  <si>
    <t>Alcance aceptado opera en ambiente acordado</t>
  </si>
  <si>
    <t>CHK-118</t>
  </si>
  <si>
    <t>Código fuente</t>
  </si>
  <si>
    <t>Entrega del código completo y compilable</t>
  </si>
  <si>
    <t>Clonar repositorio y construir desde cero</t>
  </si>
  <si>
    <t>Frontend y backend compilan con instrucciones</t>
  </si>
  <si>
    <t>CHK-119</t>
  </si>
  <si>
    <t>Base de datos</t>
  </si>
  <si>
    <t>Entrega de base de datos y scripts</t>
  </si>
  <si>
    <t>Instalar en SQL Server vacío</t>
  </si>
  <si>
    <t>Esquema y datos iniciales necesarios se crean</t>
  </si>
  <si>
    <t>CHK-120</t>
  </si>
  <si>
    <t>Manual básico y manual actualizado al cierre</t>
  </si>
  <si>
    <t>Seguir manual como usuario nuevo</t>
  </si>
  <si>
    <t>Permite operar flujos principales</t>
  </si>
  <si>
    <t>CHK-121</t>
  </si>
  <si>
    <t>Carga inicial</t>
  </si>
  <si>
    <t>Plantilla de carga de productos</t>
  </si>
  <si>
    <t>Llenar plantilla e importar</t>
  </si>
  <si>
    <t>Formato y errores documentados</t>
  </si>
  <si>
    <t>CHK-122</t>
  </si>
  <si>
    <t>Servicios</t>
  </si>
  <si>
    <t>Instalación</t>
  </si>
  <si>
    <t>Configuración inicial e instalación</t>
  </si>
  <si>
    <t>Repetir instalación con checklist</t>
  </si>
  <si>
    <t>Sistema queda accesible y configurado</t>
  </si>
  <si>
    <t>CHK-123</t>
  </si>
  <si>
    <t>Capacitación</t>
  </si>
  <si>
    <t>Capacitación gratuita al personal designado</t>
  </si>
  <si>
    <t>Registrar sesión, asistentes y dudas</t>
  </si>
  <si>
    <t>Personal completa escenarios principales</t>
  </si>
  <si>
    <t>CHK-124</t>
  </si>
  <si>
    <t>Soporte</t>
  </si>
  <si>
    <t>Un año de soporte para fallas del alcance aprobado</t>
  </si>
  <si>
    <t>Confirmar fecha inicio, canal, horarios y clasificación</t>
  </si>
  <si>
    <t>Condiciones documentadas y aceptadas</t>
  </si>
  <si>
    <t>CHK-125</t>
  </si>
  <si>
    <t>Alcance y exclusiones</t>
  </si>
  <si>
    <t>Exclusión</t>
  </si>
  <si>
    <t>Hosting, nube, dominio, certificados, pasarelas, comisiones y terceros no forman parte del desarrollo</t>
  </si>
  <si>
    <t>Revisar contrato y presupuesto contra facturas/servicios</t>
  </si>
  <si>
    <t>No se atribuyen como incluidos en $30,000 MXN</t>
  </si>
  <si>
    <t>CHK-126</t>
  </si>
  <si>
    <t>Control de cambios</t>
  </si>
  <si>
    <t>Funciones nuevas se evalúan y cotizan por separado</t>
  </si>
  <si>
    <t>Comparar solicitud con alcance aprobado</t>
  </si>
  <si>
    <t>Cambio queda documentado antes de desarrollar</t>
  </si>
  <si>
    <t>CHK-127</t>
  </si>
  <si>
    <t>Plan</t>
  </si>
  <si>
    <t>Fase 1 estimada en 3 semanas con sesión semanal</t>
  </si>
  <si>
    <t>Contrastar calendario y evidencias de avance</t>
  </si>
  <si>
    <t>Hitos y desviaciones documentados</t>
  </si>
  <si>
    <t>CHK-128</t>
  </si>
  <si>
    <t>Calendario se define tras aprobar Fase 1 y levantamiento final</t>
  </si>
  <si>
    <t>Verificar documento de definición antes de iniciar</t>
  </si>
  <si>
    <t>Fecha y requisitos aprobados por escrito</t>
  </si>
  <si>
    <t>CHK-129</t>
  </si>
  <si>
    <t>Aceptación</t>
  </si>
  <si>
    <t>Pagos</t>
  </si>
  <si>
    <t>40% inicio, 30% entrega Fase 1 y 30% entrega Fase 2</t>
  </si>
  <si>
    <t>Revisar hitos contra actas de aceptación</t>
  </si>
  <si>
    <t>Pagos ligados a entregables acordados</t>
  </si>
  <si>
    <t>MÉTODO PARA COMPARAR ALCANCE VS. DESARROLLO</t>
  </si>
  <si>
    <t>Paso</t>
  </si>
  <si>
    <t>Qué revisar</t>
  </si>
  <si>
    <t>Frontend React</t>
  </si>
  <si>
    <t>Evidencia mínima</t>
  </si>
  <si>
    <t>Trazabilidad del requisito</t>
  </si>
  <si>
    <t>Pantalla/ruta/componente</t>
  </si>
  <si>
    <t>Endpoint y DTO</t>
  </si>
  <si>
    <t>Tabla/SP/índice</t>
  </si>
  <si>
    <t>ID del checklist + referencia de código</t>
  </si>
  <si>
    <t>Camino feliz</t>
  </si>
  <si>
    <t>Acción completa sin error</t>
  </si>
  <si>
    <t>200/201 y respuesta correcta</t>
  </si>
  <si>
    <t>Datos persistidos</t>
  </si>
  <si>
    <t>Video/capturas + request/response</t>
  </si>
  <si>
    <t>Validaciones</t>
  </si>
  <si>
    <t>Mensajes y campos</t>
  </si>
  <si>
    <t>400 con errores claros</t>
  </si>
  <si>
    <t>Restricciones coherentes</t>
  </si>
  <si>
    <t>Caso negativo reproducible</t>
  </si>
  <si>
    <t>Permisos y seguridad</t>
  </si>
  <si>
    <t>Oculta/deshabilita acciones</t>
  </si>
  <si>
    <t>401/403 obligatorio</t>
  </si>
  <si>
    <t>Sin cambios no autorizados</t>
  </si>
  <si>
    <t>Usuario/rol + respuesta API</t>
  </si>
  <si>
    <t>Integraciones</t>
  </si>
  <si>
    <t>Actualiza vistas relacionadas</t>
  </si>
  <si>
    <t>Transacción entre servicios</t>
  </si>
  <si>
    <t>Saldos y relaciones consistentes</t>
  </si>
  <si>
    <t>Consulta antes/después</t>
  </si>
  <si>
    <t>Historial visible cuando aplique</t>
  </si>
  <si>
    <t>Registra actor y cambio</t>
  </si>
  <si>
    <t>Bitácora inmutable</t>
  </si>
  <si>
    <t>Registro con valores antes/después</t>
  </si>
  <si>
    <t>Regresión y aceptación</t>
  </si>
  <si>
    <t>Flujos anteriores siguen operando</t>
  </si>
  <si>
    <t>Suite sin fallos</t>
  </si>
  <si>
    <t>Migración reproducible</t>
  </si>
  <si>
    <t>Resultado final y aprobación</t>
  </si>
  <si>
    <t>Definición recomendada de terminado por módulo</t>
  </si>
  <si>
    <t>• Todos los criterios críticos y altos están en Cumple o No aplica justificado.</t>
  </si>
  <si>
    <t>• Cada criterio Cumple tiene evidencia localizable y fecha de validación.</t>
  </si>
  <si>
    <t>• No existen defectos bloqueantes ni pérdida/inconsistencia de datos.</t>
  </si>
  <si>
    <t>• Permisos verificados tanto en la interfaz como llamando directamente a la API.</t>
  </si>
  <si>
    <t>• Operaciones monetarias e inventario reconciliadas con consultas de base de datos.</t>
  </si>
  <si>
    <t>• Pruebas negativas, concurrencia/reintento y regresión ejecutadas cuando aplican.</t>
  </si>
  <si>
    <t>• Usuario responsable o cliente valida el flujo y se registra la aceptación.</t>
  </si>
  <si>
    <t>CATÁLOGOS Y FUENTES</t>
  </si>
  <si>
    <t>Interpretación</t>
  </si>
  <si>
    <t>Responsables</t>
  </si>
  <si>
    <t>Fechas rápidas</t>
  </si>
  <si>
    <t>Aún no se ejecuta</t>
  </si>
  <si>
    <t>Aaron</t>
  </si>
  <si>
    <t>Prueba en curso o evidencia por confirmar</t>
  </si>
  <si>
    <t>David</t>
  </si>
  <si>
    <t>Resultado esperado alcanzado con evidencia</t>
  </si>
  <si>
    <t>Mantenimiento</t>
  </si>
  <si>
    <t>Solo una parte del criterio funciona</t>
  </si>
  <si>
    <t>Resultado distinto al esperado</t>
  </si>
  <si>
    <t>No puede probarse por dependencia o defecto</t>
  </si>
  <si>
    <t>No aplica</t>
  </si>
  <si>
    <t>Criterio excluido con justificación</t>
  </si>
  <si>
    <t>Uso</t>
  </si>
  <si>
    <t>Compromiso explícito del documento comercial</t>
  </si>
  <si>
    <t>Control de calidad necesario para aceptar una implementación profesional</t>
  </si>
  <si>
    <t>Alcance mencionado, pero la regla exacta requiere acuerdo</t>
  </si>
  <si>
    <t>Fuente principal: Propuesta_1_Punto_de_Venta_Espanol_Proyecto_Completo_30000.pdf, 7 páginas, creada 2026-08-01. Secciones 1 a 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</si>
</sst>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7"/>
      <color rgb="FFFFFFFF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b/>
      <sz val="16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23B5D"/>
      </patternFill>
    </fill>
    <fill>
      <patternFill patternType="solid">
        <fgColor rgb="FF2878A9"/>
      </patternFill>
    </fill>
    <fill>
      <patternFill patternType="solid">
        <fgColor rgb="FFEAF3F8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0" xfId="0" applyNumberFormat="1" applyFont="1" applyFill="1" applyBorder="1"/>
    <xf numFmtId="0" fontId="0" fillId="0" borderId="1" xfId="0" applyNumberFormat="1" applyFont="1" applyFill="1" applyBorder="1"/>
    <xf numFmtId="9" fontId="0" fillId="0" borderId="1" xfId="0" applyNumberFormat="1" applyFont="1" applyFill="1" applyBorder="1"/>
    <xf numFmtId="0" fontId="2" fillId="2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top"/>
    </xf>
    <xf numFmtId="0" fontId="0" fillId="0" borderId="0" xfId="0" applyNumberFormat="1" applyFont="1" applyFill="1" applyBorder="1" applyAlignment="1">
      <alignment vertical="top" wrapText="1"/>
    </xf>
    <xf numFmtId="164" fontId="0" fillId="0" borderId="0" xfId="0" applyNumberFormat="1" applyFont="1" applyFill="1" applyBorder="1" applyAlignment="1">
      <alignment vertical="top"/>
    </xf>
    <xf numFmtId="0" fontId="2" fillId="3" borderId="1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vertical="top" wrapText="1"/>
    </xf>
    <xf numFmtId="0" fontId="0" fillId="5" borderId="0" xfId="0" applyNumberFormat="1" applyFont="1" applyFill="1" applyBorder="1" applyAlignment="1">
      <alignment wrapText="1"/>
    </xf>
    <xf numFmtId="0" fontId="2" fillId="3" borderId="1" xfId="0" applyNumberFormat="1" applyFont="1" applyFill="1" applyBorder="1"/>
    <xf numFmtId="164" fontId="0" fillId="0" borderId="1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/>
    </xf>
    <xf numFmtId="0" fontId="2" fillId="3" borderId="0" xfId="0" applyNumberFormat="1" applyFont="1" applyFill="1" applyBorder="1"/>
    <xf numFmtId="0" fontId="0" fillId="4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 vertical="center"/>
    </xf>
    <xf numFmtId="0" fontId="0" fillId="5" borderId="0" xfId="0" applyNumberFormat="1" applyFont="1" applyFill="1" applyBorder="1" applyAlignment="1">
      <alignment wrapText="1"/>
    </xf>
  </cellXfs>
  <cellStyles count="1">
    <cellStyle name="Normal" xfId="0" builtinId="0"/>
  </cellStyles>
  <dxfs count="15">
    <dxf>
      <font>
        <b/>
        <color rgb="FF073763"/>
      </font>
      <fill>
        <patternFill patternType="solid">
          <bgColor rgb="FFCFE2F3"/>
        </patternFill>
      </fill>
    </dxf>
    <dxf>
      <font>
        <b/>
        <color rgb="FF351C75"/>
      </font>
      <fill>
        <patternFill patternType="solid">
          <bgColor rgb="FFD9D2E9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073763"/>
      </font>
      <fill>
        <patternFill patternType="solid">
          <bgColor rgb="FFCFE2F3"/>
        </patternFill>
      </fill>
    </dxf>
    <dxf>
      <font>
        <b/>
        <color rgb="FF351C75"/>
      </font>
      <fill>
        <patternFill patternType="solid">
          <bgColor rgb="FFD9D2E9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073763"/>
      </font>
      <fill>
        <patternFill patternType="solid">
          <bgColor rgb="FFCFE2F3"/>
        </patternFill>
      </fill>
    </dxf>
    <dxf>
      <font>
        <b/>
        <color rgb="FF351C75"/>
      </font>
      <fill>
        <patternFill patternType="solid">
          <bgColor rgb="FFD9D2E9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74E13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ecklistFase1" displayName="ChecklistFase1" ref="A14:N91" totalsRowShown="0">
  <tableColumns count="14">
    <tableColumn id="1" xr3:uid="{00000000-0010-0000-0000-000001000000}" name="ID"/>
    <tableColumn id="2" xr3:uid="{00000000-0010-0000-0000-000002000000}" name="Fase"/>
    <tableColumn id="3" xr3:uid="{00000000-0010-0000-0000-000003000000}" name="Módulo"/>
    <tableColumn id="4" xr3:uid="{00000000-0010-0000-0000-000004000000}" name="Tipo de prueba"/>
    <tableColumn id="5" xr3:uid="{00000000-0010-0000-0000-000005000000}" name="Requisito / criterio"/>
    <tableColumn id="6" xr3:uid="{00000000-0010-0000-0000-000006000000}" name="Cómo validarlo"/>
    <tableColumn id="7" xr3:uid="{00000000-0010-0000-0000-000007000000}" name="Resultado esperado"/>
    <tableColumn id="8" xr3:uid="{00000000-0010-0000-0000-000008000000}" name="Prioridad"/>
    <tableColumn id="9" xr3:uid="{00000000-0010-0000-0000-000009000000}" name="Estado"/>
    <tableColumn id="10" xr3:uid="{00000000-0010-0000-0000-00000A000000}" name="Evidencia / enlace"/>
    <tableColumn id="11" xr3:uid="{00000000-0010-0000-0000-00000B000000}" name="Incidencia"/>
    <tableColumn id="12" xr3:uid="{00000000-0010-0000-0000-00000C000000}" name="Responsable"/>
    <tableColumn id="13" xr3:uid="{00000000-0010-0000-0000-00000D000000}" name="Fecha validación"/>
    <tableColumn id="14" xr3:uid="{00000000-0010-0000-0000-00000E000000}" name="Fue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ecklistFase2" displayName="ChecklistFase2" ref="A14:N35" totalsRowShown="0">
  <tableColumns count="14">
    <tableColumn id="1" xr3:uid="{00000000-0010-0000-0100-000001000000}" name="ID"/>
    <tableColumn id="2" xr3:uid="{00000000-0010-0000-0100-000002000000}" name="Fase"/>
    <tableColumn id="3" xr3:uid="{00000000-0010-0000-0100-000003000000}" name="Módulo"/>
    <tableColumn id="4" xr3:uid="{00000000-0010-0000-0100-000004000000}" name="Tipo de prueba"/>
    <tableColumn id="5" xr3:uid="{00000000-0010-0000-0100-000005000000}" name="Requisito / criterio"/>
    <tableColumn id="6" xr3:uid="{00000000-0010-0000-0100-000006000000}" name="Cómo validarlo"/>
    <tableColumn id="7" xr3:uid="{00000000-0010-0000-0100-000007000000}" name="Resultado esperado"/>
    <tableColumn id="8" xr3:uid="{00000000-0010-0000-0100-000008000000}" name="Prioridad"/>
    <tableColumn id="9" xr3:uid="{00000000-0010-0000-0100-000009000000}" name="Estado"/>
    <tableColumn id="10" xr3:uid="{00000000-0010-0000-0100-00000A000000}" name="Evidencia / enlace"/>
    <tableColumn id="11" xr3:uid="{00000000-0010-0000-0100-00000B000000}" name="Incidencia"/>
    <tableColumn id="12" xr3:uid="{00000000-0010-0000-0100-00000C000000}" name="Responsable"/>
    <tableColumn id="13" xr3:uid="{00000000-0010-0000-0100-00000D000000}" name="Fecha validación"/>
    <tableColumn id="14" xr3:uid="{00000000-0010-0000-0100-00000E000000}" name="Fuen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hecklistOtros" displayName="ChecklistOtros" ref="A14:N45" totalsRowShown="0">
  <tableColumns count="14">
    <tableColumn id="1" xr3:uid="{00000000-0010-0000-0200-000001000000}" name="ID"/>
    <tableColumn id="2" xr3:uid="{00000000-0010-0000-0200-000002000000}" name="Fase"/>
    <tableColumn id="3" xr3:uid="{00000000-0010-0000-0200-000003000000}" name="Módulo"/>
    <tableColumn id="4" xr3:uid="{00000000-0010-0000-0200-000004000000}" name="Tipo de prueba"/>
    <tableColumn id="5" xr3:uid="{00000000-0010-0000-0200-000005000000}" name="Requisito / criterio"/>
    <tableColumn id="6" xr3:uid="{00000000-0010-0000-0200-000006000000}" name="Cómo validarlo"/>
    <tableColumn id="7" xr3:uid="{00000000-0010-0000-0200-000007000000}" name="Resultado esperado"/>
    <tableColumn id="8" xr3:uid="{00000000-0010-0000-0200-000008000000}" name="Prioridad"/>
    <tableColumn id="9" xr3:uid="{00000000-0010-0000-0200-000009000000}" name="Estado"/>
    <tableColumn id="10" xr3:uid="{00000000-0010-0000-0200-00000A000000}" name="Evidencia / enlace"/>
    <tableColumn id="11" xr3:uid="{00000000-0010-0000-0200-00000B000000}" name="Incidencia"/>
    <tableColumn id="12" xr3:uid="{00000000-0010-0000-0200-00000C000000}" name="Responsable"/>
    <tableColumn id="13" xr3:uid="{00000000-0010-0000-0200-00000D000000}" name="Fecha validación"/>
    <tableColumn id="14" xr3:uid="{00000000-0010-0000-0200-00000E000000}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workbookViewId="0">
      <selection sqref="A1:H2"/>
    </sheetView>
  </sheetViews>
  <sheetFormatPr baseColWidth="10" defaultColWidth="9" defaultRowHeight="14.25"/>
  <cols>
    <col min="1" max="1" width="27" customWidth="1"/>
    <col min="2" max="2" width="16" customWidth="1"/>
    <col min="3" max="3" width="6" customWidth="1"/>
    <col min="4" max="4" width="27" customWidth="1"/>
    <col min="5" max="5" width="16" customWidth="1"/>
    <col min="6" max="8" width="12" customWidth="1"/>
  </cols>
  <sheetData>
    <row r="1" spans="1:8">
      <c r="A1" s="13" t="s">
        <v>0</v>
      </c>
      <c r="B1" s="13"/>
      <c r="C1" s="13"/>
      <c r="D1" s="13"/>
      <c r="E1" s="13"/>
      <c r="F1" s="13"/>
      <c r="G1" s="13"/>
      <c r="H1" s="13"/>
    </row>
    <row r="2" spans="1:8">
      <c r="A2" s="13"/>
      <c r="B2" s="13"/>
      <c r="C2" s="13"/>
      <c r="D2" s="13"/>
      <c r="E2" s="13"/>
      <c r="F2" s="13"/>
      <c r="G2" s="13"/>
      <c r="H2" s="13"/>
    </row>
    <row r="4" spans="1:8" ht="15">
      <c r="A4" s="14" t="s">
        <v>1</v>
      </c>
      <c r="B4" s="14"/>
      <c r="D4" s="14" t="s">
        <v>2</v>
      </c>
      <c r="E4" s="14"/>
    </row>
    <row r="5" spans="1:8">
      <c r="A5" s="2" t="s">
        <v>3</v>
      </c>
      <c r="B5" s="2">
        <f>'Fase 1'!B5</f>
        <v>77</v>
      </c>
      <c r="D5" s="2" t="s">
        <v>3</v>
      </c>
      <c r="E5" s="2">
        <f>'Fase 2'!B5</f>
        <v>21</v>
      </c>
    </row>
    <row r="6" spans="1:8">
      <c r="A6" s="2" t="s">
        <v>4</v>
      </c>
      <c r="B6" s="2">
        <f>'Fase 1'!B6</f>
        <v>1</v>
      </c>
      <c r="D6" s="2" t="s">
        <v>4</v>
      </c>
      <c r="E6" s="2">
        <f>'Fase 2'!B6</f>
        <v>0</v>
      </c>
    </row>
    <row r="7" spans="1:8">
      <c r="A7" s="2" t="s">
        <v>5</v>
      </c>
      <c r="B7" s="2">
        <f>'Fase 1'!B7</f>
        <v>0</v>
      </c>
      <c r="D7" s="2" t="s">
        <v>5</v>
      </c>
      <c r="E7" s="2">
        <f>'Fase 2'!B7</f>
        <v>0</v>
      </c>
    </row>
    <row r="8" spans="1:8">
      <c r="A8" s="2" t="s">
        <v>6</v>
      </c>
      <c r="B8" s="2">
        <f>'Fase 1'!B8</f>
        <v>0</v>
      </c>
      <c r="D8" s="2" t="s">
        <v>6</v>
      </c>
      <c r="E8" s="2">
        <f>'Fase 2'!B8</f>
        <v>0</v>
      </c>
    </row>
    <row r="9" spans="1:8">
      <c r="A9" s="2" t="s">
        <v>7</v>
      </c>
      <c r="B9" s="2">
        <f>'Fase 1'!B9</f>
        <v>0</v>
      </c>
      <c r="D9" s="2" t="s">
        <v>7</v>
      </c>
      <c r="E9" s="2">
        <f>'Fase 2'!B9</f>
        <v>0</v>
      </c>
    </row>
    <row r="10" spans="1:8">
      <c r="A10" s="2" t="s">
        <v>8</v>
      </c>
      <c r="B10" s="2">
        <f>'Fase 1'!B10</f>
        <v>0</v>
      </c>
      <c r="D10" s="2" t="s">
        <v>8</v>
      </c>
      <c r="E10" s="2">
        <f>'Fase 2'!B10</f>
        <v>0</v>
      </c>
    </row>
    <row r="11" spans="1:8">
      <c r="A11" s="2" t="s">
        <v>9</v>
      </c>
      <c r="B11" s="2">
        <f>'Fase 1'!B11</f>
        <v>76</v>
      </c>
      <c r="D11" s="2" t="s">
        <v>9</v>
      </c>
      <c r="E11" s="2">
        <f>'Fase 2'!B11</f>
        <v>21</v>
      </c>
    </row>
    <row r="12" spans="1:8">
      <c r="A12" s="2" t="s">
        <v>10</v>
      </c>
      <c r="B12" s="3">
        <f>'Fase 1'!B12</f>
        <v>1.2987012987012988E-2</v>
      </c>
      <c r="D12" s="2" t="s">
        <v>10</v>
      </c>
      <c r="E12" s="3">
        <f>'Fase 2'!B12</f>
        <v>0</v>
      </c>
    </row>
    <row r="15" spans="1:8" ht="15">
      <c r="A15" s="15" t="s">
        <v>11</v>
      </c>
      <c r="B15" s="15"/>
      <c r="C15" s="15"/>
      <c r="D15" s="15"/>
      <c r="E15" s="15"/>
      <c r="F15" s="15"/>
      <c r="G15" s="15"/>
      <c r="H15" s="15"/>
    </row>
    <row r="16" spans="1:8">
      <c r="A16" s="16" t="s">
        <v>12</v>
      </c>
      <c r="B16" s="16"/>
      <c r="C16" s="16"/>
      <c r="D16" s="16"/>
      <c r="E16" s="16"/>
      <c r="F16" s="16"/>
      <c r="G16" s="16"/>
      <c r="H16" s="16"/>
    </row>
    <row r="17" spans="1:8">
      <c r="A17" s="16" t="s">
        <v>13</v>
      </c>
      <c r="B17" s="16"/>
      <c r="C17" s="16"/>
      <c r="D17" s="16"/>
      <c r="E17" s="16"/>
      <c r="F17" s="16"/>
      <c r="G17" s="16"/>
      <c r="H17" s="16"/>
    </row>
    <row r="18" spans="1:8">
      <c r="A18" s="16" t="s">
        <v>14</v>
      </c>
      <c r="B18" s="16"/>
      <c r="C18" s="16"/>
      <c r="D18" s="16"/>
      <c r="E18" s="16"/>
      <c r="F18" s="16"/>
      <c r="G18" s="16"/>
      <c r="H18" s="16"/>
    </row>
    <row r="19" spans="1:8">
      <c r="A19" s="16" t="s">
        <v>15</v>
      </c>
      <c r="B19" s="16"/>
      <c r="C19" s="16"/>
      <c r="D19" s="16"/>
      <c r="E19" s="16"/>
      <c r="F19" s="16"/>
      <c r="G19" s="16"/>
      <c r="H19" s="16"/>
    </row>
    <row r="20" spans="1:8">
      <c r="A20" s="16" t="s">
        <v>16</v>
      </c>
      <c r="B20" s="16"/>
      <c r="C20" s="16"/>
      <c r="D20" s="16"/>
      <c r="E20" s="16"/>
      <c r="F20" s="16"/>
      <c r="G20" s="16"/>
      <c r="H20" s="16"/>
    </row>
  </sheetData>
  <mergeCells count="9">
    <mergeCell ref="A17:H17"/>
    <mergeCell ref="A18:H18"/>
    <mergeCell ref="A19:H19"/>
    <mergeCell ref="A20:H20"/>
    <mergeCell ref="A1:H2"/>
    <mergeCell ref="A4:B4"/>
    <mergeCell ref="D4:E4"/>
    <mergeCell ref="A15:H15"/>
    <mergeCell ref="A16:H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1"/>
  <sheetViews>
    <sheetView showGridLines="0" tabSelected="1" topLeftCell="A4" workbookViewId="0">
      <selection activeCell="I16" sqref="I16"/>
    </sheetView>
  </sheetViews>
  <sheetFormatPr baseColWidth="10" defaultColWidth="9" defaultRowHeight="14.25"/>
  <cols>
    <col min="1" max="1" width="13" customWidth="1"/>
    <col min="2" max="2" width="12" customWidth="1"/>
    <col min="3" max="3" width="28" customWidth="1"/>
    <col min="4" max="4" width="18" customWidth="1"/>
    <col min="5" max="5" width="42" customWidth="1"/>
    <col min="6" max="6" width="46" customWidth="1"/>
    <col min="7" max="7" width="42" customWidth="1"/>
    <col min="8" max="8" width="12" customWidth="1"/>
    <col min="9" max="9" width="15" customWidth="1"/>
    <col min="10" max="10" width="30" customWidth="1"/>
    <col min="11" max="11" width="22" customWidth="1"/>
    <col min="12" max="12" width="20" customWidth="1"/>
    <col min="13" max="13" width="16" customWidth="1"/>
    <col min="14" max="14" width="32" customWidth="1"/>
  </cols>
  <sheetData>
    <row r="1" spans="1:14">
      <c r="A1" s="17" t="s">
        <v>17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4" spans="1:14" ht="15">
      <c r="A4" s="1" t="s">
        <v>18</v>
      </c>
      <c r="B4" s="1" t="s">
        <v>19</v>
      </c>
    </row>
    <row r="5" spans="1:14">
      <c r="A5" s="2" t="s">
        <v>3</v>
      </c>
      <c r="B5" s="2">
        <f>COUNTA($A$15:$A$91)</f>
        <v>77</v>
      </c>
    </row>
    <row r="6" spans="1:14">
      <c r="A6" s="2" t="s">
        <v>4</v>
      </c>
      <c r="B6" s="2">
        <f>COUNTIF($I$15:$I$91,"Cumple")</f>
        <v>1</v>
      </c>
    </row>
    <row r="7" spans="1:14">
      <c r="A7" s="2" t="s">
        <v>5</v>
      </c>
      <c r="B7" s="2">
        <f>COUNTIF($I$15:$I$91,"Parcial")</f>
        <v>0</v>
      </c>
    </row>
    <row r="8" spans="1:14">
      <c r="A8" s="2" t="s">
        <v>6</v>
      </c>
      <c r="B8" s="2">
        <f>COUNTIF($I$15:$I$91,"No cumple")</f>
        <v>0</v>
      </c>
    </row>
    <row r="9" spans="1:14">
      <c r="A9" s="2" t="s">
        <v>7</v>
      </c>
      <c r="B9" s="2">
        <f>COUNTIF($I$15:$I$91,"En revisión")</f>
        <v>0</v>
      </c>
    </row>
    <row r="10" spans="1:14">
      <c r="A10" s="2" t="s">
        <v>8</v>
      </c>
      <c r="B10" s="2">
        <f>COUNTIF($I$15:$I$91,"Bloqueado")</f>
        <v>0</v>
      </c>
    </row>
    <row r="11" spans="1:14">
      <c r="A11" s="2" t="s">
        <v>9</v>
      </c>
      <c r="B11" s="2">
        <f>COUNTIF($I$15:$I$91,"Pendiente")</f>
        <v>76</v>
      </c>
    </row>
    <row r="12" spans="1:14">
      <c r="A12" s="2" t="s">
        <v>10</v>
      </c>
      <c r="B12" s="3">
        <f>IF(B5=0,0,(B6+B7*0.5)/B5)</f>
        <v>1.2987012987012988E-2</v>
      </c>
    </row>
    <row r="14" spans="1:14" ht="33.950000000000003" customHeight="1">
      <c r="A14" s="4" t="s">
        <v>20</v>
      </c>
      <c r="B14" s="4" t="s">
        <v>21</v>
      </c>
      <c r="C14" s="4" t="s">
        <v>22</v>
      </c>
      <c r="D14" s="4" t="s">
        <v>23</v>
      </c>
      <c r="E14" s="4" t="s">
        <v>24</v>
      </c>
      <c r="F14" s="4" t="s">
        <v>25</v>
      </c>
      <c r="G14" s="4" t="s">
        <v>26</v>
      </c>
      <c r="H14" s="4" t="s">
        <v>27</v>
      </c>
      <c r="I14" s="4" t="s">
        <v>28</v>
      </c>
      <c r="J14" s="4" t="s">
        <v>29</v>
      </c>
      <c r="K14" s="4" t="s">
        <v>30</v>
      </c>
      <c r="L14" s="4" t="s">
        <v>31</v>
      </c>
      <c r="M14" s="4" t="s">
        <v>32</v>
      </c>
      <c r="N14" s="4" t="s">
        <v>33</v>
      </c>
    </row>
    <row r="15" spans="1:14" ht="28.5">
      <c r="A15" s="5" t="s">
        <v>34</v>
      </c>
      <c r="B15" s="5" t="s">
        <v>35</v>
      </c>
      <c r="C15" s="5" t="s">
        <v>36</v>
      </c>
      <c r="D15" s="5" t="s">
        <v>37</v>
      </c>
      <c r="E15" s="6" t="s">
        <v>38</v>
      </c>
      <c r="F15" s="6" t="s">
        <v>39</v>
      </c>
      <c r="G15" s="6" t="s">
        <v>40</v>
      </c>
      <c r="H15" s="5" t="s">
        <v>41</v>
      </c>
      <c r="I15" s="5" t="s">
        <v>4</v>
      </c>
      <c r="J15" s="5"/>
      <c r="K15" s="5"/>
      <c r="L15" s="5" t="s">
        <v>734</v>
      </c>
      <c r="M15" s="7">
        <v>46238</v>
      </c>
      <c r="N15" s="6" t="s">
        <v>42</v>
      </c>
    </row>
    <row r="16" spans="1:14">
      <c r="A16" s="5" t="s">
        <v>43</v>
      </c>
      <c r="B16" s="5" t="s">
        <v>35</v>
      </c>
      <c r="C16" s="5" t="s">
        <v>36</v>
      </c>
      <c r="D16" s="5" t="s">
        <v>44</v>
      </c>
      <c r="E16" s="6" t="s">
        <v>45</v>
      </c>
      <c r="F16" s="6" t="s">
        <v>46</v>
      </c>
      <c r="G16" s="6" t="s">
        <v>47</v>
      </c>
      <c r="H16" s="5" t="s">
        <v>41</v>
      </c>
      <c r="I16" s="5" t="s">
        <v>9</v>
      </c>
      <c r="J16" s="5"/>
      <c r="K16" s="5"/>
      <c r="L16" s="5"/>
      <c r="M16" s="7"/>
      <c r="N16" s="6" t="s">
        <v>48</v>
      </c>
    </row>
    <row r="17" spans="1:14">
      <c r="A17" s="5" t="s">
        <v>49</v>
      </c>
      <c r="B17" s="5" t="s">
        <v>35</v>
      </c>
      <c r="C17" s="5" t="s">
        <v>36</v>
      </c>
      <c r="D17" s="5" t="s">
        <v>50</v>
      </c>
      <c r="E17" s="6" t="s">
        <v>51</v>
      </c>
      <c r="F17" s="6" t="s">
        <v>52</v>
      </c>
      <c r="G17" s="6" t="s">
        <v>53</v>
      </c>
      <c r="H17" s="5" t="s">
        <v>54</v>
      </c>
      <c r="I17" s="5" t="s">
        <v>9</v>
      </c>
      <c r="J17" s="5"/>
      <c r="K17" s="5"/>
      <c r="L17" s="5"/>
      <c r="M17" s="7"/>
      <c r="N17" s="6" t="s">
        <v>48</v>
      </c>
    </row>
    <row r="18" spans="1:14">
      <c r="A18" s="5" t="s">
        <v>55</v>
      </c>
      <c r="B18" s="5" t="s">
        <v>35</v>
      </c>
      <c r="C18" s="5" t="s">
        <v>36</v>
      </c>
      <c r="D18" s="5" t="s">
        <v>50</v>
      </c>
      <c r="E18" s="6" t="s">
        <v>56</v>
      </c>
      <c r="F18" s="6" t="s">
        <v>57</v>
      </c>
      <c r="G18" s="6" t="s">
        <v>58</v>
      </c>
      <c r="H18" s="5" t="s">
        <v>41</v>
      </c>
      <c r="I18" s="5" t="s">
        <v>9</v>
      </c>
      <c r="J18" s="5"/>
      <c r="K18" s="5"/>
      <c r="L18" s="5"/>
      <c r="M18" s="7"/>
      <c r="N18" s="6" t="s">
        <v>48</v>
      </c>
    </row>
    <row r="19" spans="1:14">
      <c r="A19" s="5" t="s">
        <v>59</v>
      </c>
      <c r="B19" s="5" t="s">
        <v>35</v>
      </c>
      <c r="C19" s="5" t="s">
        <v>60</v>
      </c>
      <c r="D19" s="5" t="s">
        <v>61</v>
      </c>
      <c r="E19" s="6" t="s">
        <v>62</v>
      </c>
      <c r="F19" s="6" t="s">
        <v>63</v>
      </c>
      <c r="G19" s="6" t="s">
        <v>64</v>
      </c>
      <c r="H19" s="5" t="s">
        <v>54</v>
      </c>
      <c r="I19" s="5" t="s">
        <v>9</v>
      </c>
      <c r="J19" s="5"/>
      <c r="K19" s="5"/>
      <c r="L19" s="5"/>
      <c r="M19" s="7"/>
      <c r="N19" s="6" t="s">
        <v>42</v>
      </c>
    </row>
    <row r="20" spans="1:14">
      <c r="A20" s="5" t="s">
        <v>65</v>
      </c>
      <c r="B20" s="5" t="s">
        <v>35</v>
      </c>
      <c r="C20" s="5" t="s">
        <v>60</v>
      </c>
      <c r="D20" s="5" t="s">
        <v>66</v>
      </c>
      <c r="E20" s="6" t="s">
        <v>67</v>
      </c>
      <c r="F20" s="6" t="s">
        <v>68</v>
      </c>
      <c r="G20" s="6" t="s">
        <v>69</v>
      </c>
      <c r="H20" s="5" t="s">
        <v>54</v>
      </c>
      <c r="I20" s="5" t="s">
        <v>9</v>
      </c>
      <c r="J20" s="5"/>
      <c r="K20" s="5"/>
      <c r="L20" s="5"/>
      <c r="M20" s="7"/>
      <c r="N20" s="6" t="s">
        <v>48</v>
      </c>
    </row>
    <row r="21" spans="1:14">
      <c r="A21" s="5" t="s">
        <v>70</v>
      </c>
      <c r="B21" s="5" t="s">
        <v>35</v>
      </c>
      <c r="C21" s="5" t="s">
        <v>60</v>
      </c>
      <c r="D21" s="5" t="s">
        <v>71</v>
      </c>
      <c r="E21" s="6" t="s">
        <v>72</v>
      </c>
      <c r="F21" s="6" t="s">
        <v>73</v>
      </c>
      <c r="G21" s="6" t="s">
        <v>74</v>
      </c>
      <c r="H21" s="5" t="s">
        <v>54</v>
      </c>
      <c r="I21" s="5" t="s">
        <v>9</v>
      </c>
      <c r="J21" s="5"/>
      <c r="K21" s="5"/>
      <c r="L21" s="5"/>
      <c r="M21" s="7"/>
      <c r="N21" s="6" t="s">
        <v>42</v>
      </c>
    </row>
    <row r="22" spans="1:14" ht="28.5">
      <c r="A22" s="5" t="s">
        <v>75</v>
      </c>
      <c r="B22" s="5" t="s">
        <v>35</v>
      </c>
      <c r="C22" s="5" t="s">
        <v>76</v>
      </c>
      <c r="D22" s="5" t="s">
        <v>61</v>
      </c>
      <c r="E22" s="6" t="s">
        <v>77</v>
      </c>
      <c r="F22" s="6" t="s">
        <v>78</v>
      </c>
      <c r="G22" s="6" t="s">
        <v>79</v>
      </c>
      <c r="H22" s="5" t="s">
        <v>41</v>
      </c>
      <c r="I22" s="5" t="s">
        <v>9</v>
      </c>
      <c r="J22" s="5"/>
      <c r="K22" s="5"/>
      <c r="L22" s="5"/>
      <c r="M22" s="7"/>
      <c r="N22" s="6" t="s">
        <v>42</v>
      </c>
    </row>
    <row r="23" spans="1:14">
      <c r="A23" s="5" t="s">
        <v>80</v>
      </c>
      <c r="B23" s="5" t="s">
        <v>35</v>
      </c>
      <c r="C23" s="5" t="s">
        <v>76</v>
      </c>
      <c r="D23" s="5" t="s">
        <v>50</v>
      </c>
      <c r="E23" s="6" t="s">
        <v>81</v>
      </c>
      <c r="F23" s="6" t="s">
        <v>82</v>
      </c>
      <c r="G23" s="6" t="s">
        <v>83</v>
      </c>
      <c r="H23" s="5" t="s">
        <v>41</v>
      </c>
      <c r="I23" s="5" t="s">
        <v>9</v>
      </c>
      <c r="J23" s="5"/>
      <c r="K23" s="5"/>
      <c r="L23" s="5"/>
      <c r="M23" s="7"/>
      <c r="N23" s="6" t="s">
        <v>48</v>
      </c>
    </row>
    <row r="24" spans="1:14" ht="28.5">
      <c r="A24" s="5" t="s">
        <v>84</v>
      </c>
      <c r="B24" s="5" t="s">
        <v>35</v>
      </c>
      <c r="C24" s="5" t="s">
        <v>76</v>
      </c>
      <c r="D24" s="5" t="s">
        <v>85</v>
      </c>
      <c r="E24" s="6" t="s">
        <v>86</v>
      </c>
      <c r="F24" s="6" t="s">
        <v>87</v>
      </c>
      <c r="G24" s="6" t="s">
        <v>88</v>
      </c>
      <c r="H24" s="5" t="s">
        <v>41</v>
      </c>
      <c r="I24" s="5" t="s">
        <v>9</v>
      </c>
      <c r="J24" s="5"/>
      <c r="K24" s="5"/>
      <c r="L24" s="5"/>
      <c r="M24" s="7"/>
      <c r="N24" s="6" t="s">
        <v>42</v>
      </c>
    </row>
    <row r="25" spans="1:14" ht="28.5">
      <c r="A25" s="5" t="s">
        <v>89</v>
      </c>
      <c r="B25" s="5" t="s">
        <v>35</v>
      </c>
      <c r="C25" s="5" t="s">
        <v>90</v>
      </c>
      <c r="D25" s="5" t="s">
        <v>37</v>
      </c>
      <c r="E25" s="6" t="s">
        <v>91</v>
      </c>
      <c r="F25" s="6" t="s">
        <v>92</v>
      </c>
      <c r="G25" s="6" t="s">
        <v>93</v>
      </c>
      <c r="H25" s="5" t="s">
        <v>94</v>
      </c>
      <c r="I25" s="5" t="s">
        <v>9</v>
      </c>
      <c r="J25" s="5"/>
      <c r="K25" s="5"/>
      <c r="L25" s="5"/>
      <c r="M25" s="7"/>
      <c r="N25" s="6" t="s">
        <v>95</v>
      </c>
    </row>
    <row r="26" spans="1:14" ht="28.5">
      <c r="A26" s="5" t="s">
        <v>96</v>
      </c>
      <c r="B26" s="5" t="s">
        <v>35</v>
      </c>
      <c r="C26" s="5" t="s">
        <v>90</v>
      </c>
      <c r="D26" s="5" t="s">
        <v>97</v>
      </c>
      <c r="E26" s="6" t="s">
        <v>98</v>
      </c>
      <c r="F26" s="6" t="s">
        <v>99</v>
      </c>
      <c r="G26" s="6" t="s">
        <v>100</v>
      </c>
      <c r="H26" s="5" t="s">
        <v>41</v>
      </c>
      <c r="I26" s="5" t="s">
        <v>9</v>
      </c>
      <c r="J26" s="5"/>
      <c r="K26" s="5"/>
      <c r="L26" s="5"/>
      <c r="M26" s="7"/>
      <c r="N26" s="6" t="s">
        <v>42</v>
      </c>
    </row>
    <row r="27" spans="1:14" ht="28.5">
      <c r="A27" s="5" t="s">
        <v>101</v>
      </c>
      <c r="B27" s="5" t="s">
        <v>35</v>
      </c>
      <c r="C27" s="5" t="s">
        <v>90</v>
      </c>
      <c r="D27" s="5" t="s">
        <v>102</v>
      </c>
      <c r="E27" s="6" t="s">
        <v>103</v>
      </c>
      <c r="F27" s="6" t="s">
        <v>104</v>
      </c>
      <c r="G27" s="6" t="s">
        <v>105</v>
      </c>
      <c r="H27" s="5" t="s">
        <v>54</v>
      </c>
      <c r="I27" s="5" t="s">
        <v>9</v>
      </c>
      <c r="J27" s="5"/>
      <c r="K27" s="5"/>
      <c r="L27" s="5"/>
      <c r="M27" s="7"/>
      <c r="N27" s="6" t="s">
        <v>42</v>
      </c>
    </row>
    <row r="28" spans="1:14">
      <c r="A28" s="5" t="s">
        <v>106</v>
      </c>
      <c r="B28" s="5" t="s">
        <v>35</v>
      </c>
      <c r="C28" s="5" t="s">
        <v>90</v>
      </c>
      <c r="D28" s="5" t="s">
        <v>85</v>
      </c>
      <c r="E28" s="6" t="s">
        <v>107</v>
      </c>
      <c r="F28" s="6" t="s">
        <v>108</v>
      </c>
      <c r="G28" s="6" t="s">
        <v>109</v>
      </c>
      <c r="H28" s="5" t="s">
        <v>41</v>
      </c>
      <c r="I28" s="5" t="s">
        <v>9</v>
      </c>
      <c r="J28" s="5"/>
      <c r="K28" s="5"/>
      <c r="L28" s="5"/>
      <c r="M28" s="7"/>
      <c r="N28" s="6" t="s">
        <v>42</v>
      </c>
    </row>
    <row r="29" spans="1:14" ht="28.5">
      <c r="A29" s="5" t="s">
        <v>110</v>
      </c>
      <c r="B29" s="5" t="s">
        <v>35</v>
      </c>
      <c r="C29" s="5" t="s">
        <v>90</v>
      </c>
      <c r="D29" s="5" t="s">
        <v>85</v>
      </c>
      <c r="E29" s="6" t="s">
        <v>111</v>
      </c>
      <c r="F29" s="6" t="s">
        <v>112</v>
      </c>
      <c r="G29" s="6" t="s">
        <v>113</v>
      </c>
      <c r="H29" s="5" t="s">
        <v>41</v>
      </c>
      <c r="I29" s="5" t="s">
        <v>9</v>
      </c>
      <c r="J29" s="5"/>
      <c r="K29" s="5"/>
      <c r="L29" s="5"/>
      <c r="M29" s="7"/>
      <c r="N29" s="6" t="s">
        <v>42</v>
      </c>
    </row>
    <row r="30" spans="1:14" ht="28.5">
      <c r="A30" s="5" t="s">
        <v>114</v>
      </c>
      <c r="B30" s="5" t="s">
        <v>35</v>
      </c>
      <c r="C30" s="5" t="s">
        <v>90</v>
      </c>
      <c r="D30" s="5" t="s">
        <v>115</v>
      </c>
      <c r="E30" s="6" t="s">
        <v>116</v>
      </c>
      <c r="F30" s="6" t="s">
        <v>117</v>
      </c>
      <c r="G30" s="6" t="s">
        <v>118</v>
      </c>
      <c r="H30" s="5" t="s">
        <v>41</v>
      </c>
      <c r="I30" s="5" t="s">
        <v>9</v>
      </c>
      <c r="J30" s="5"/>
      <c r="K30" s="5"/>
      <c r="L30" s="5"/>
      <c r="M30" s="7"/>
      <c r="N30" s="6" t="s">
        <v>48</v>
      </c>
    </row>
    <row r="31" spans="1:14" ht="28.5">
      <c r="A31" s="5" t="s">
        <v>119</v>
      </c>
      <c r="B31" s="5" t="s">
        <v>35</v>
      </c>
      <c r="C31" s="5" t="s">
        <v>120</v>
      </c>
      <c r="D31" s="5" t="s">
        <v>37</v>
      </c>
      <c r="E31" s="6" t="s">
        <v>121</v>
      </c>
      <c r="F31" s="6" t="s">
        <v>122</v>
      </c>
      <c r="G31" s="6" t="s">
        <v>123</v>
      </c>
      <c r="H31" s="5" t="s">
        <v>41</v>
      </c>
      <c r="I31" s="5" t="s">
        <v>9</v>
      </c>
      <c r="J31" s="5"/>
      <c r="K31" s="5"/>
      <c r="L31" s="5"/>
      <c r="M31" s="7"/>
      <c r="N31" s="6" t="s">
        <v>42</v>
      </c>
    </row>
    <row r="32" spans="1:14" ht="28.5">
      <c r="A32" s="5" t="s">
        <v>124</v>
      </c>
      <c r="B32" s="5" t="s">
        <v>35</v>
      </c>
      <c r="C32" s="5" t="s">
        <v>120</v>
      </c>
      <c r="D32" s="5" t="s">
        <v>85</v>
      </c>
      <c r="E32" s="6" t="s">
        <v>125</v>
      </c>
      <c r="F32" s="6" t="s">
        <v>126</v>
      </c>
      <c r="G32" s="6" t="s">
        <v>127</v>
      </c>
      <c r="H32" s="5" t="s">
        <v>41</v>
      </c>
      <c r="I32" s="5" t="s">
        <v>9</v>
      </c>
      <c r="J32" s="5"/>
      <c r="K32" s="5"/>
      <c r="L32" s="5"/>
      <c r="M32" s="7"/>
      <c r="N32" s="6" t="s">
        <v>42</v>
      </c>
    </row>
    <row r="33" spans="1:14" ht="28.5">
      <c r="A33" s="5" t="s">
        <v>128</v>
      </c>
      <c r="B33" s="5" t="s">
        <v>35</v>
      </c>
      <c r="C33" s="5" t="s">
        <v>120</v>
      </c>
      <c r="D33" s="5" t="s">
        <v>71</v>
      </c>
      <c r="E33" s="6" t="s">
        <v>129</v>
      </c>
      <c r="F33" s="6" t="s">
        <v>130</v>
      </c>
      <c r="G33" s="6" t="s">
        <v>131</v>
      </c>
      <c r="H33" s="5" t="s">
        <v>41</v>
      </c>
      <c r="I33" s="5" t="s">
        <v>9</v>
      </c>
      <c r="J33" s="5"/>
      <c r="K33" s="5"/>
      <c r="L33" s="5"/>
      <c r="M33" s="7"/>
      <c r="N33" s="6" t="s">
        <v>42</v>
      </c>
    </row>
    <row r="34" spans="1:14">
      <c r="A34" s="5" t="s">
        <v>132</v>
      </c>
      <c r="B34" s="5" t="s">
        <v>35</v>
      </c>
      <c r="C34" s="5" t="s">
        <v>120</v>
      </c>
      <c r="D34" s="5" t="s">
        <v>133</v>
      </c>
      <c r="E34" s="6" t="s">
        <v>134</v>
      </c>
      <c r="F34" s="6" t="s">
        <v>135</v>
      </c>
      <c r="G34" s="6" t="s">
        <v>136</v>
      </c>
      <c r="H34" s="5" t="s">
        <v>54</v>
      </c>
      <c r="I34" s="5" t="s">
        <v>9</v>
      </c>
      <c r="J34" s="5"/>
      <c r="K34" s="5"/>
      <c r="L34" s="5"/>
      <c r="M34" s="7"/>
      <c r="N34" s="6" t="s">
        <v>42</v>
      </c>
    </row>
    <row r="35" spans="1:14">
      <c r="A35" s="5" t="s">
        <v>137</v>
      </c>
      <c r="B35" s="5" t="s">
        <v>35</v>
      </c>
      <c r="C35" s="5" t="s">
        <v>138</v>
      </c>
      <c r="D35" s="5" t="s">
        <v>61</v>
      </c>
      <c r="E35" s="6" t="s">
        <v>139</v>
      </c>
      <c r="F35" s="6" t="s">
        <v>140</v>
      </c>
      <c r="G35" s="6" t="s">
        <v>141</v>
      </c>
      <c r="H35" s="5" t="s">
        <v>54</v>
      </c>
      <c r="I35" s="5" t="s">
        <v>9</v>
      </c>
      <c r="J35" s="5"/>
      <c r="K35" s="5"/>
      <c r="L35" s="5"/>
      <c r="M35" s="7"/>
      <c r="N35" s="6" t="s">
        <v>42</v>
      </c>
    </row>
    <row r="36" spans="1:14" ht="28.5">
      <c r="A36" s="5" t="s">
        <v>142</v>
      </c>
      <c r="B36" s="5" t="s">
        <v>35</v>
      </c>
      <c r="C36" s="5" t="s">
        <v>138</v>
      </c>
      <c r="D36" s="5" t="s">
        <v>143</v>
      </c>
      <c r="E36" s="6" t="s">
        <v>144</v>
      </c>
      <c r="F36" s="6" t="s">
        <v>145</v>
      </c>
      <c r="G36" s="6" t="s">
        <v>146</v>
      </c>
      <c r="H36" s="5" t="s">
        <v>54</v>
      </c>
      <c r="I36" s="5" t="s">
        <v>9</v>
      </c>
      <c r="J36" s="5"/>
      <c r="K36" s="5"/>
      <c r="L36" s="5"/>
      <c r="M36" s="7"/>
      <c r="N36" s="6" t="s">
        <v>42</v>
      </c>
    </row>
    <row r="37" spans="1:14" ht="28.5">
      <c r="A37" s="5" t="s">
        <v>147</v>
      </c>
      <c r="B37" s="5" t="s">
        <v>35</v>
      </c>
      <c r="C37" s="5" t="s">
        <v>138</v>
      </c>
      <c r="D37" s="5" t="s">
        <v>85</v>
      </c>
      <c r="E37" s="6" t="s">
        <v>148</v>
      </c>
      <c r="F37" s="6" t="s">
        <v>149</v>
      </c>
      <c r="G37" s="6" t="s">
        <v>150</v>
      </c>
      <c r="H37" s="5" t="s">
        <v>54</v>
      </c>
      <c r="I37" s="5" t="s">
        <v>9</v>
      </c>
      <c r="J37" s="5"/>
      <c r="K37" s="5"/>
      <c r="L37" s="5"/>
      <c r="M37" s="7"/>
      <c r="N37" s="6" t="s">
        <v>42</v>
      </c>
    </row>
    <row r="38" spans="1:14">
      <c r="A38" s="5" t="s">
        <v>151</v>
      </c>
      <c r="B38" s="5" t="s">
        <v>35</v>
      </c>
      <c r="C38" s="5" t="s">
        <v>138</v>
      </c>
      <c r="D38" s="5" t="s">
        <v>66</v>
      </c>
      <c r="E38" s="6" t="s">
        <v>152</v>
      </c>
      <c r="F38" s="6" t="s">
        <v>153</v>
      </c>
      <c r="G38" s="6" t="s">
        <v>154</v>
      </c>
      <c r="H38" s="5" t="s">
        <v>94</v>
      </c>
      <c r="I38" s="5" t="s">
        <v>9</v>
      </c>
      <c r="J38" s="5"/>
      <c r="K38" s="5"/>
      <c r="L38" s="5"/>
      <c r="M38" s="7"/>
      <c r="N38" s="6" t="s">
        <v>48</v>
      </c>
    </row>
    <row r="39" spans="1:14">
      <c r="A39" s="5" t="s">
        <v>155</v>
      </c>
      <c r="B39" s="5" t="s">
        <v>35</v>
      </c>
      <c r="C39" s="5" t="s">
        <v>156</v>
      </c>
      <c r="D39" s="5" t="s">
        <v>61</v>
      </c>
      <c r="E39" s="6" t="s">
        <v>157</v>
      </c>
      <c r="F39" s="6" t="s">
        <v>158</v>
      </c>
      <c r="G39" s="6" t="s">
        <v>159</v>
      </c>
      <c r="H39" s="5" t="s">
        <v>54</v>
      </c>
      <c r="I39" s="5" t="s">
        <v>9</v>
      </c>
      <c r="J39" s="5"/>
      <c r="K39" s="5"/>
      <c r="L39" s="5"/>
      <c r="M39" s="7"/>
      <c r="N39" s="6" t="s">
        <v>42</v>
      </c>
    </row>
    <row r="40" spans="1:14" ht="28.5">
      <c r="A40" s="5" t="s">
        <v>160</v>
      </c>
      <c r="B40" s="5" t="s">
        <v>35</v>
      </c>
      <c r="C40" s="5" t="s">
        <v>156</v>
      </c>
      <c r="D40" s="5" t="s">
        <v>161</v>
      </c>
      <c r="E40" s="6" t="s">
        <v>162</v>
      </c>
      <c r="F40" s="6" t="s">
        <v>163</v>
      </c>
      <c r="G40" s="6" t="s">
        <v>164</v>
      </c>
      <c r="H40" s="5" t="s">
        <v>54</v>
      </c>
      <c r="I40" s="5" t="s">
        <v>9</v>
      </c>
      <c r="J40" s="5"/>
      <c r="K40" s="5"/>
      <c r="L40" s="5"/>
      <c r="M40" s="7"/>
      <c r="N40" s="6" t="s">
        <v>42</v>
      </c>
    </row>
    <row r="41" spans="1:14" ht="28.5">
      <c r="A41" s="5" t="s">
        <v>165</v>
      </c>
      <c r="B41" s="5" t="s">
        <v>35</v>
      </c>
      <c r="C41" s="5" t="s">
        <v>156</v>
      </c>
      <c r="D41" s="5" t="s">
        <v>166</v>
      </c>
      <c r="E41" s="6" t="s">
        <v>167</v>
      </c>
      <c r="F41" s="6" t="s">
        <v>168</v>
      </c>
      <c r="G41" s="6" t="s">
        <v>169</v>
      </c>
      <c r="H41" s="5" t="s">
        <v>94</v>
      </c>
      <c r="I41" s="5" t="s">
        <v>9</v>
      </c>
      <c r="J41" s="5"/>
      <c r="K41" s="5"/>
      <c r="L41" s="5"/>
      <c r="M41" s="7"/>
      <c r="N41" s="6" t="s">
        <v>42</v>
      </c>
    </row>
    <row r="42" spans="1:14" ht="28.5">
      <c r="A42" s="5" t="s">
        <v>170</v>
      </c>
      <c r="B42" s="5" t="s">
        <v>35</v>
      </c>
      <c r="C42" s="5" t="s">
        <v>156</v>
      </c>
      <c r="D42" s="5" t="s">
        <v>85</v>
      </c>
      <c r="E42" s="6" t="s">
        <v>171</v>
      </c>
      <c r="F42" s="6" t="s">
        <v>172</v>
      </c>
      <c r="G42" s="6" t="s">
        <v>173</v>
      </c>
      <c r="H42" s="5" t="s">
        <v>54</v>
      </c>
      <c r="I42" s="5" t="s">
        <v>9</v>
      </c>
      <c r="J42" s="5"/>
      <c r="K42" s="5"/>
      <c r="L42" s="5"/>
      <c r="M42" s="7"/>
      <c r="N42" s="6" t="s">
        <v>42</v>
      </c>
    </row>
    <row r="43" spans="1:14" ht="28.5">
      <c r="A43" s="5" t="s">
        <v>174</v>
      </c>
      <c r="B43" s="5" t="s">
        <v>35</v>
      </c>
      <c r="C43" s="5" t="s">
        <v>156</v>
      </c>
      <c r="D43" s="5" t="s">
        <v>175</v>
      </c>
      <c r="E43" s="6" t="s">
        <v>176</v>
      </c>
      <c r="F43" s="6" t="s">
        <v>177</v>
      </c>
      <c r="G43" s="6" t="s">
        <v>178</v>
      </c>
      <c r="H43" s="5" t="s">
        <v>54</v>
      </c>
      <c r="I43" s="5" t="s">
        <v>9</v>
      </c>
      <c r="J43" s="5"/>
      <c r="K43" s="5"/>
      <c r="L43" s="5"/>
      <c r="M43" s="7"/>
      <c r="N43" s="6" t="s">
        <v>42</v>
      </c>
    </row>
    <row r="44" spans="1:14" ht="28.5">
      <c r="A44" s="5" t="s">
        <v>179</v>
      </c>
      <c r="B44" s="5" t="s">
        <v>35</v>
      </c>
      <c r="C44" s="5" t="s">
        <v>180</v>
      </c>
      <c r="D44" s="5" t="s">
        <v>181</v>
      </c>
      <c r="E44" s="6" t="s">
        <v>182</v>
      </c>
      <c r="F44" s="6" t="s">
        <v>183</v>
      </c>
      <c r="G44" s="6" t="s">
        <v>184</v>
      </c>
      <c r="H44" s="5" t="s">
        <v>41</v>
      </c>
      <c r="I44" s="5" t="s">
        <v>9</v>
      </c>
      <c r="J44" s="5"/>
      <c r="K44" s="5"/>
      <c r="L44" s="5"/>
      <c r="M44" s="7"/>
      <c r="N44" s="6" t="s">
        <v>42</v>
      </c>
    </row>
    <row r="45" spans="1:14" ht="28.5">
      <c r="A45" s="5" t="s">
        <v>185</v>
      </c>
      <c r="B45" s="5" t="s">
        <v>35</v>
      </c>
      <c r="C45" s="5" t="s">
        <v>180</v>
      </c>
      <c r="D45" s="5" t="s">
        <v>186</v>
      </c>
      <c r="E45" s="6" t="s">
        <v>187</v>
      </c>
      <c r="F45" s="6" t="s">
        <v>188</v>
      </c>
      <c r="G45" s="6" t="s">
        <v>189</v>
      </c>
      <c r="H45" s="5" t="s">
        <v>41</v>
      </c>
      <c r="I45" s="5" t="s">
        <v>9</v>
      </c>
      <c r="J45" s="5"/>
      <c r="K45" s="5"/>
      <c r="L45" s="5"/>
      <c r="M45" s="7"/>
      <c r="N45" s="6" t="s">
        <v>48</v>
      </c>
    </row>
    <row r="46" spans="1:14" ht="28.5">
      <c r="A46" s="5" t="s">
        <v>190</v>
      </c>
      <c r="B46" s="5" t="s">
        <v>35</v>
      </c>
      <c r="C46" s="5" t="s">
        <v>180</v>
      </c>
      <c r="D46" s="5" t="s">
        <v>85</v>
      </c>
      <c r="E46" s="6" t="s">
        <v>191</v>
      </c>
      <c r="F46" s="6" t="s">
        <v>192</v>
      </c>
      <c r="G46" s="6" t="s">
        <v>193</v>
      </c>
      <c r="H46" s="5" t="s">
        <v>41</v>
      </c>
      <c r="I46" s="5" t="s">
        <v>9</v>
      </c>
      <c r="J46" s="5"/>
      <c r="K46" s="5"/>
      <c r="L46" s="5"/>
      <c r="M46" s="7"/>
      <c r="N46" s="6" t="s">
        <v>48</v>
      </c>
    </row>
    <row r="47" spans="1:14" ht="28.5">
      <c r="A47" s="5" t="s">
        <v>194</v>
      </c>
      <c r="B47" s="5" t="s">
        <v>35</v>
      </c>
      <c r="C47" s="5" t="s">
        <v>180</v>
      </c>
      <c r="D47" s="5" t="s">
        <v>195</v>
      </c>
      <c r="E47" s="6" t="s">
        <v>196</v>
      </c>
      <c r="F47" s="6" t="s">
        <v>197</v>
      </c>
      <c r="G47" s="6" t="s">
        <v>198</v>
      </c>
      <c r="H47" s="5" t="s">
        <v>54</v>
      </c>
      <c r="I47" s="5" t="s">
        <v>9</v>
      </c>
      <c r="J47" s="5"/>
      <c r="K47" s="5"/>
      <c r="L47" s="5"/>
      <c r="M47" s="7"/>
      <c r="N47" s="6" t="s">
        <v>48</v>
      </c>
    </row>
    <row r="48" spans="1:14" ht="28.5">
      <c r="A48" s="5" t="s">
        <v>199</v>
      </c>
      <c r="B48" s="5" t="s">
        <v>35</v>
      </c>
      <c r="C48" s="5" t="s">
        <v>200</v>
      </c>
      <c r="D48" s="5" t="s">
        <v>201</v>
      </c>
      <c r="E48" s="6" t="s">
        <v>202</v>
      </c>
      <c r="F48" s="6" t="s">
        <v>203</v>
      </c>
      <c r="G48" s="6" t="s">
        <v>204</v>
      </c>
      <c r="H48" s="5" t="s">
        <v>41</v>
      </c>
      <c r="I48" s="5" t="s">
        <v>9</v>
      </c>
      <c r="J48" s="5"/>
      <c r="K48" s="5"/>
      <c r="L48" s="5"/>
      <c r="M48" s="7"/>
      <c r="N48" s="6" t="s">
        <v>42</v>
      </c>
    </row>
    <row r="49" spans="1:14">
      <c r="A49" s="5" t="s">
        <v>205</v>
      </c>
      <c r="B49" s="5" t="s">
        <v>35</v>
      </c>
      <c r="C49" s="5" t="s">
        <v>200</v>
      </c>
      <c r="D49" s="5" t="s">
        <v>195</v>
      </c>
      <c r="E49" s="6" t="s">
        <v>206</v>
      </c>
      <c r="F49" s="6" t="s">
        <v>207</v>
      </c>
      <c r="G49" s="6" t="s">
        <v>208</v>
      </c>
      <c r="H49" s="5" t="s">
        <v>94</v>
      </c>
      <c r="I49" s="5" t="s">
        <v>9</v>
      </c>
      <c r="J49" s="5"/>
      <c r="K49" s="5"/>
      <c r="L49" s="5"/>
      <c r="M49" s="7"/>
      <c r="N49" s="6" t="s">
        <v>42</v>
      </c>
    </row>
    <row r="50" spans="1:14" ht="28.5">
      <c r="A50" s="5" t="s">
        <v>209</v>
      </c>
      <c r="B50" s="5" t="s">
        <v>35</v>
      </c>
      <c r="C50" s="5" t="s">
        <v>200</v>
      </c>
      <c r="D50" s="5" t="s">
        <v>210</v>
      </c>
      <c r="E50" s="6" t="s">
        <v>211</v>
      </c>
      <c r="F50" s="6" t="s">
        <v>212</v>
      </c>
      <c r="G50" s="6" t="s">
        <v>213</v>
      </c>
      <c r="H50" s="5" t="s">
        <v>54</v>
      </c>
      <c r="I50" s="5" t="s">
        <v>9</v>
      </c>
      <c r="J50" s="5"/>
      <c r="K50" s="5"/>
      <c r="L50" s="5"/>
      <c r="M50" s="7"/>
      <c r="N50" s="6" t="s">
        <v>48</v>
      </c>
    </row>
    <row r="51" spans="1:14" ht="28.5">
      <c r="A51" s="5" t="s">
        <v>214</v>
      </c>
      <c r="B51" s="5" t="s">
        <v>35</v>
      </c>
      <c r="C51" s="5" t="s">
        <v>215</v>
      </c>
      <c r="D51" s="5" t="s">
        <v>216</v>
      </c>
      <c r="E51" s="6" t="s">
        <v>217</v>
      </c>
      <c r="F51" s="6" t="s">
        <v>218</v>
      </c>
      <c r="G51" s="6" t="s">
        <v>219</v>
      </c>
      <c r="H51" s="5" t="s">
        <v>41</v>
      </c>
      <c r="I51" s="5" t="s">
        <v>9</v>
      </c>
      <c r="J51" s="5"/>
      <c r="K51" s="5"/>
      <c r="L51" s="5"/>
      <c r="M51" s="7"/>
      <c r="N51" s="6" t="s">
        <v>42</v>
      </c>
    </row>
    <row r="52" spans="1:14">
      <c r="A52" s="5" t="s">
        <v>220</v>
      </c>
      <c r="B52" s="5" t="s">
        <v>35</v>
      </c>
      <c r="C52" s="5" t="s">
        <v>215</v>
      </c>
      <c r="D52" s="5" t="s">
        <v>221</v>
      </c>
      <c r="E52" s="6" t="s">
        <v>222</v>
      </c>
      <c r="F52" s="6" t="s">
        <v>223</v>
      </c>
      <c r="G52" s="6" t="s">
        <v>224</v>
      </c>
      <c r="H52" s="5" t="s">
        <v>41</v>
      </c>
      <c r="I52" s="5" t="s">
        <v>9</v>
      </c>
      <c r="J52" s="5"/>
      <c r="K52" s="5"/>
      <c r="L52" s="5"/>
      <c r="M52" s="7"/>
      <c r="N52" s="6" t="s">
        <v>48</v>
      </c>
    </row>
    <row r="53" spans="1:14" ht="28.5">
      <c r="A53" s="5" t="s">
        <v>225</v>
      </c>
      <c r="B53" s="5" t="s">
        <v>35</v>
      </c>
      <c r="C53" s="5" t="s">
        <v>215</v>
      </c>
      <c r="D53" s="5" t="s">
        <v>71</v>
      </c>
      <c r="E53" s="6" t="s">
        <v>226</v>
      </c>
      <c r="F53" s="6" t="s">
        <v>227</v>
      </c>
      <c r="G53" s="6" t="s">
        <v>228</v>
      </c>
      <c r="H53" s="5" t="s">
        <v>41</v>
      </c>
      <c r="I53" s="5" t="s">
        <v>9</v>
      </c>
      <c r="J53" s="5"/>
      <c r="K53" s="5"/>
      <c r="L53" s="5"/>
      <c r="M53" s="7"/>
      <c r="N53" s="6" t="s">
        <v>42</v>
      </c>
    </row>
    <row r="54" spans="1:14" ht="28.5">
      <c r="A54" s="5" t="s">
        <v>229</v>
      </c>
      <c r="B54" s="5" t="s">
        <v>35</v>
      </c>
      <c r="C54" s="5" t="s">
        <v>215</v>
      </c>
      <c r="D54" s="5" t="s">
        <v>230</v>
      </c>
      <c r="E54" s="6" t="s">
        <v>231</v>
      </c>
      <c r="F54" s="6" t="s">
        <v>232</v>
      </c>
      <c r="G54" s="6" t="s">
        <v>233</v>
      </c>
      <c r="H54" s="5" t="s">
        <v>41</v>
      </c>
      <c r="I54" s="5" t="s">
        <v>9</v>
      </c>
      <c r="J54" s="5"/>
      <c r="K54" s="5"/>
      <c r="L54" s="5"/>
      <c r="M54" s="7"/>
      <c r="N54" s="6" t="s">
        <v>42</v>
      </c>
    </row>
    <row r="55" spans="1:14">
      <c r="A55" s="5" t="s">
        <v>234</v>
      </c>
      <c r="B55" s="5" t="s">
        <v>35</v>
      </c>
      <c r="C55" s="5" t="s">
        <v>235</v>
      </c>
      <c r="D55" s="5" t="s">
        <v>85</v>
      </c>
      <c r="E55" s="6" t="s">
        <v>236</v>
      </c>
      <c r="F55" s="6" t="s">
        <v>237</v>
      </c>
      <c r="G55" s="6" t="s">
        <v>238</v>
      </c>
      <c r="H55" s="5" t="s">
        <v>41</v>
      </c>
      <c r="I55" s="5" t="s">
        <v>9</v>
      </c>
      <c r="J55" s="5"/>
      <c r="K55" s="5"/>
      <c r="L55" s="5"/>
      <c r="M55" s="7"/>
      <c r="N55" s="6" t="s">
        <v>42</v>
      </c>
    </row>
    <row r="56" spans="1:14">
      <c r="A56" s="5" t="s">
        <v>239</v>
      </c>
      <c r="B56" s="5" t="s">
        <v>35</v>
      </c>
      <c r="C56" s="5" t="s">
        <v>235</v>
      </c>
      <c r="D56" s="5" t="s">
        <v>240</v>
      </c>
      <c r="E56" s="6" t="s">
        <v>241</v>
      </c>
      <c r="F56" s="6" t="s">
        <v>242</v>
      </c>
      <c r="G56" s="6" t="s">
        <v>243</v>
      </c>
      <c r="H56" s="5" t="s">
        <v>41</v>
      </c>
      <c r="I56" s="5" t="s">
        <v>9</v>
      </c>
      <c r="J56" s="5"/>
      <c r="K56" s="5"/>
      <c r="L56" s="5"/>
      <c r="M56" s="7"/>
      <c r="N56" s="6" t="s">
        <v>42</v>
      </c>
    </row>
    <row r="57" spans="1:14" ht="28.5">
      <c r="A57" s="5" t="s">
        <v>244</v>
      </c>
      <c r="B57" s="5" t="s">
        <v>35</v>
      </c>
      <c r="C57" s="5" t="s">
        <v>235</v>
      </c>
      <c r="D57" s="5" t="s">
        <v>71</v>
      </c>
      <c r="E57" s="6" t="s">
        <v>245</v>
      </c>
      <c r="F57" s="6" t="s">
        <v>246</v>
      </c>
      <c r="G57" s="6" t="s">
        <v>247</v>
      </c>
      <c r="H57" s="5" t="s">
        <v>41</v>
      </c>
      <c r="I57" s="5" t="s">
        <v>9</v>
      </c>
      <c r="J57" s="5"/>
      <c r="K57" s="5"/>
      <c r="L57" s="5"/>
      <c r="M57" s="7"/>
      <c r="N57" s="6" t="s">
        <v>42</v>
      </c>
    </row>
    <row r="58" spans="1:14" ht="28.5">
      <c r="A58" s="5" t="s">
        <v>248</v>
      </c>
      <c r="B58" s="5" t="s">
        <v>35</v>
      </c>
      <c r="C58" s="5" t="s">
        <v>249</v>
      </c>
      <c r="D58" s="5" t="s">
        <v>37</v>
      </c>
      <c r="E58" s="6" t="s">
        <v>250</v>
      </c>
      <c r="F58" s="6" t="s">
        <v>251</v>
      </c>
      <c r="G58" s="6" t="s">
        <v>252</v>
      </c>
      <c r="H58" s="5" t="s">
        <v>41</v>
      </c>
      <c r="I58" s="5" t="s">
        <v>9</v>
      </c>
      <c r="J58" s="5"/>
      <c r="K58" s="5"/>
      <c r="L58" s="5"/>
      <c r="M58" s="7"/>
      <c r="N58" s="6" t="s">
        <v>42</v>
      </c>
    </row>
    <row r="59" spans="1:14" ht="28.5">
      <c r="A59" s="5" t="s">
        <v>253</v>
      </c>
      <c r="B59" s="5" t="s">
        <v>35</v>
      </c>
      <c r="C59" s="5" t="s">
        <v>249</v>
      </c>
      <c r="D59" s="5" t="s">
        <v>66</v>
      </c>
      <c r="E59" s="6" t="s">
        <v>254</v>
      </c>
      <c r="F59" s="6" t="s">
        <v>255</v>
      </c>
      <c r="G59" s="6" t="s">
        <v>256</v>
      </c>
      <c r="H59" s="5" t="s">
        <v>41</v>
      </c>
      <c r="I59" s="5" t="s">
        <v>9</v>
      </c>
      <c r="J59" s="5"/>
      <c r="K59" s="5"/>
      <c r="L59" s="5"/>
      <c r="M59" s="7"/>
      <c r="N59" s="6" t="s">
        <v>48</v>
      </c>
    </row>
    <row r="60" spans="1:14" ht="28.5">
      <c r="A60" s="5" t="s">
        <v>257</v>
      </c>
      <c r="B60" s="5" t="s">
        <v>35</v>
      </c>
      <c r="C60" s="5" t="s">
        <v>249</v>
      </c>
      <c r="D60" s="5" t="s">
        <v>258</v>
      </c>
      <c r="E60" s="6" t="s">
        <v>259</v>
      </c>
      <c r="F60" s="6" t="s">
        <v>260</v>
      </c>
      <c r="G60" s="6" t="s">
        <v>261</v>
      </c>
      <c r="H60" s="5" t="s">
        <v>41</v>
      </c>
      <c r="I60" s="5" t="s">
        <v>9</v>
      </c>
      <c r="J60" s="5"/>
      <c r="K60" s="5"/>
      <c r="L60" s="5"/>
      <c r="M60" s="7"/>
      <c r="N60" s="6" t="s">
        <v>42</v>
      </c>
    </row>
    <row r="61" spans="1:14">
      <c r="A61" s="5" t="s">
        <v>262</v>
      </c>
      <c r="B61" s="5" t="s">
        <v>35</v>
      </c>
      <c r="C61" s="5" t="s">
        <v>249</v>
      </c>
      <c r="D61" s="5" t="s">
        <v>133</v>
      </c>
      <c r="E61" s="6" t="s">
        <v>263</v>
      </c>
      <c r="F61" s="6" t="s">
        <v>264</v>
      </c>
      <c r="G61" s="6" t="s">
        <v>265</v>
      </c>
      <c r="H61" s="5" t="s">
        <v>54</v>
      </c>
      <c r="I61" s="5" t="s">
        <v>9</v>
      </c>
      <c r="J61" s="5"/>
      <c r="K61" s="5"/>
      <c r="L61" s="5"/>
      <c r="M61" s="7"/>
      <c r="N61" s="6" t="s">
        <v>42</v>
      </c>
    </row>
    <row r="62" spans="1:14" ht="28.5">
      <c r="A62" s="5" t="s">
        <v>266</v>
      </c>
      <c r="B62" s="5" t="s">
        <v>35</v>
      </c>
      <c r="C62" s="5" t="s">
        <v>267</v>
      </c>
      <c r="D62" s="5" t="s">
        <v>268</v>
      </c>
      <c r="E62" s="6" t="s">
        <v>269</v>
      </c>
      <c r="F62" s="6" t="s">
        <v>270</v>
      </c>
      <c r="G62" s="6" t="s">
        <v>271</v>
      </c>
      <c r="H62" s="5" t="s">
        <v>54</v>
      </c>
      <c r="I62" s="5" t="s">
        <v>9</v>
      </c>
      <c r="J62" s="5"/>
      <c r="K62" s="5"/>
      <c r="L62" s="5"/>
      <c r="M62" s="7"/>
      <c r="N62" s="6" t="s">
        <v>42</v>
      </c>
    </row>
    <row r="63" spans="1:14">
      <c r="A63" s="5" t="s">
        <v>272</v>
      </c>
      <c r="B63" s="5" t="s">
        <v>35</v>
      </c>
      <c r="C63" s="5" t="s">
        <v>267</v>
      </c>
      <c r="D63" s="5" t="s">
        <v>273</v>
      </c>
      <c r="E63" s="6" t="s">
        <v>274</v>
      </c>
      <c r="F63" s="6" t="s">
        <v>275</v>
      </c>
      <c r="G63" s="6" t="s">
        <v>276</v>
      </c>
      <c r="H63" s="5" t="s">
        <v>54</v>
      </c>
      <c r="I63" s="5" t="s">
        <v>9</v>
      </c>
      <c r="J63" s="5"/>
      <c r="K63" s="5"/>
      <c r="L63" s="5"/>
      <c r="M63" s="7"/>
      <c r="N63" s="6" t="s">
        <v>42</v>
      </c>
    </row>
    <row r="64" spans="1:14">
      <c r="A64" s="5" t="s">
        <v>277</v>
      </c>
      <c r="B64" s="5" t="s">
        <v>35</v>
      </c>
      <c r="C64" s="5" t="s">
        <v>267</v>
      </c>
      <c r="D64" s="5" t="s">
        <v>50</v>
      </c>
      <c r="E64" s="6" t="s">
        <v>278</v>
      </c>
      <c r="F64" s="6" t="s">
        <v>279</v>
      </c>
      <c r="G64" s="6" t="s">
        <v>280</v>
      </c>
      <c r="H64" s="5" t="s">
        <v>41</v>
      </c>
      <c r="I64" s="5" t="s">
        <v>9</v>
      </c>
      <c r="J64" s="5"/>
      <c r="K64" s="5"/>
      <c r="L64" s="5"/>
      <c r="M64" s="7"/>
      <c r="N64" s="6" t="s">
        <v>48</v>
      </c>
    </row>
    <row r="65" spans="1:14" ht="28.5">
      <c r="A65" s="5" t="s">
        <v>281</v>
      </c>
      <c r="B65" s="5" t="s">
        <v>35</v>
      </c>
      <c r="C65" s="5" t="s">
        <v>282</v>
      </c>
      <c r="D65" s="5" t="s">
        <v>85</v>
      </c>
      <c r="E65" s="6" t="s">
        <v>283</v>
      </c>
      <c r="F65" s="6" t="s">
        <v>284</v>
      </c>
      <c r="G65" s="6" t="s">
        <v>285</v>
      </c>
      <c r="H65" s="5" t="s">
        <v>54</v>
      </c>
      <c r="I65" s="5" t="s">
        <v>9</v>
      </c>
      <c r="J65" s="5"/>
      <c r="K65" s="5"/>
      <c r="L65" s="5"/>
      <c r="M65" s="7"/>
      <c r="N65" s="6" t="s">
        <v>42</v>
      </c>
    </row>
    <row r="66" spans="1:14" ht="28.5">
      <c r="A66" s="5" t="s">
        <v>286</v>
      </c>
      <c r="B66" s="5" t="s">
        <v>35</v>
      </c>
      <c r="C66" s="5" t="s">
        <v>282</v>
      </c>
      <c r="D66" s="5" t="s">
        <v>287</v>
      </c>
      <c r="E66" s="6" t="s">
        <v>288</v>
      </c>
      <c r="F66" s="6" t="s">
        <v>289</v>
      </c>
      <c r="G66" s="6" t="s">
        <v>290</v>
      </c>
      <c r="H66" s="5" t="s">
        <v>54</v>
      </c>
      <c r="I66" s="5" t="s">
        <v>9</v>
      </c>
      <c r="J66" s="5"/>
      <c r="K66" s="5"/>
      <c r="L66" s="5"/>
      <c r="M66" s="7"/>
      <c r="N66" s="6" t="s">
        <v>95</v>
      </c>
    </row>
    <row r="67" spans="1:14">
      <c r="A67" s="5" t="s">
        <v>291</v>
      </c>
      <c r="B67" s="5" t="s">
        <v>35</v>
      </c>
      <c r="C67" s="5" t="s">
        <v>282</v>
      </c>
      <c r="D67" s="5" t="s">
        <v>292</v>
      </c>
      <c r="E67" s="6" t="s">
        <v>293</v>
      </c>
      <c r="F67" s="6" t="s">
        <v>294</v>
      </c>
      <c r="G67" s="6" t="s">
        <v>295</v>
      </c>
      <c r="H67" s="5" t="s">
        <v>54</v>
      </c>
      <c r="I67" s="5" t="s">
        <v>9</v>
      </c>
      <c r="J67" s="5"/>
      <c r="K67" s="5"/>
      <c r="L67" s="5"/>
      <c r="M67" s="7"/>
      <c r="N67" s="6" t="s">
        <v>48</v>
      </c>
    </row>
    <row r="68" spans="1:14" ht="28.5">
      <c r="A68" s="5" t="s">
        <v>296</v>
      </c>
      <c r="B68" s="5" t="s">
        <v>35</v>
      </c>
      <c r="C68" s="5" t="s">
        <v>297</v>
      </c>
      <c r="D68" s="5" t="s">
        <v>216</v>
      </c>
      <c r="E68" s="6" t="s">
        <v>298</v>
      </c>
      <c r="F68" s="6" t="s">
        <v>299</v>
      </c>
      <c r="G68" s="6" t="s">
        <v>300</v>
      </c>
      <c r="H68" s="5" t="s">
        <v>54</v>
      </c>
      <c r="I68" s="5" t="s">
        <v>9</v>
      </c>
      <c r="J68" s="5"/>
      <c r="K68" s="5"/>
      <c r="L68" s="5"/>
      <c r="M68" s="7"/>
      <c r="N68" s="6" t="s">
        <v>42</v>
      </c>
    </row>
    <row r="69" spans="1:14" ht="28.5">
      <c r="A69" s="5" t="s">
        <v>301</v>
      </c>
      <c r="B69" s="5" t="s">
        <v>35</v>
      </c>
      <c r="C69" s="5" t="s">
        <v>297</v>
      </c>
      <c r="D69" s="5" t="s">
        <v>133</v>
      </c>
      <c r="E69" s="6" t="s">
        <v>302</v>
      </c>
      <c r="F69" s="6" t="s">
        <v>303</v>
      </c>
      <c r="G69" s="6" t="s">
        <v>304</v>
      </c>
      <c r="H69" s="5" t="s">
        <v>54</v>
      </c>
      <c r="I69" s="5" t="s">
        <v>9</v>
      </c>
      <c r="J69" s="5"/>
      <c r="K69" s="5"/>
      <c r="L69" s="5"/>
      <c r="M69" s="7"/>
      <c r="N69" s="6" t="s">
        <v>42</v>
      </c>
    </row>
    <row r="70" spans="1:14" ht="28.5">
      <c r="A70" s="5" t="s">
        <v>305</v>
      </c>
      <c r="B70" s="5" t="s">
        <v>35</v>
      </c>
      <c r="C70" s="5" t="s">
        <v>297</v>
      </c>
      <c r="D70" s="5" t="s">
        <v>306</v>
      </c>
      <c r="E70" s="6" t="s">
        <v>307</v>
      </c>
      <c r="F70" s="6" t="s">
        <v>308</v>
      </c>
      <c r="G70" s="6" t="s">
        <v>309</v>
      </c>
      <c r="H70" s="5" t="s">
        <v>41</v>
      </c>
      <c r="I70" s="5" t="s">
        <v>9</v>
      </c>
      <c r="J70" s="5"/>
      <c r="K70" s="5"/>
      <c r="L70" s="5"/>
      <c r="M70" s="7"/>
      <c r="N70" s="6" t="s">
        <v>42</v>
      </c>
    </row>
    <row r="71" spans="1:14" ht="28.5">
      <c r="A71" s="5" t="s">
        <v>310</v>
      </c>
      <c r="B71" s="5" t="s">
        <v>35</v>
      </c>
      <c r="C71" s="5" t="s">
        <v>311</v>
      </c>
      <c r="D71" s="5" t="s">
        <v>37</v>
      </c>
      <c r="E71" s="6" t="s">
        <v>312</v>
      </c>
      <c r="F71" s="6" t="s">
        <v>313</v>
      </c>
      <c r="G71" s="6" t="s">
        <v>314</v>
      </c>
      <c r="H71" s="5" t="s">
        <v>54</v>
      </c>
      <c r="I71" s="5" t="s">
        <v>9</v>
      </c>
      <c r="J71" s="5"/>
      <c r="K71" s="5"/>
      <c r="L71" s="5"/>
      <c r="M71" s="7"/>
      <c r="N71" s="6" t="s">
        <v>42</v>
      </c>
    </row>
    <row r="72" spans="1:14" ht="28.5">
      <c r="A72" s="5" t="s">
        <v>315</v>
      </c>
      <c r="B72" s="5" t="s">
        <v>35</v>
      </c>
      <c r="C72" s="5" t="s">
        <v>311</v>
      </c>
      <c r="D72" s="5" t="s">
        <v>85</v>
      </c>
      <c r="E72" s="6" t="s">
        <v>316</v>
      </c>
      <c r="F72" s="6" t="s">
        <v>317</v>
      </c>
      <c r="G72" s="6" t="s">
        <v>318</v>
      </c>
      <c r="H72" s="5" t="s">
        <v>54</v>
      </c>
      <c r="I72" s="5" t="s">
        <v>9</v>
      </c>
      <c r="J72" s="5"/>
      <c r="K72" s="5"/>
      <c r="L72" s="5"/>
      <c r="M72" s="7"/>
      <c r="N72" s="6" t="s">
        <v>48</v>
      </c>
    </row>
    <row r="73" spans="1:14">
      <c r="A73" s="5" t="s">
        <v>319</v>
      </c>
      <c r="B73" s="5" t="s">
        <v>35</v>
      </c>
      <c r="C73" s="5" t="s">
        <v>311</v>
      </c>
      <c r="D73" s="5" t="s">
        <v>71</v>
      </c>
      <c r="E73" s="6" t="s">
        <v>320</v>
      </c>
      <c r="F73" s="6" t="s">
        <v>321</v>
      </c>
      <c r="G73" s="6" t="s">
        <v>322</v>
      </c>
      <c r="H73" s="5" t="s">
        <v>94</v>
      </c>
      <c r="I73" s="5" t="s">
        <v>9</v>
      </c>
      <c r="J73" s="5"/>
      <c r="K73" s="5"/>
      <c r="L73" s="5"/>
      <c r="M73" s="7"/>
      <c r="N73" s="6" t="s">
        <v>42</v>
      </c>
    </row>
    <row r="74" spans="1:14" ht="28.5">
      <c r="A74" s="5" t="s">
        <v>323</v>
      </c>
      <c r="B74" s="5" t="s">
        <v>35</v>
      </c>
      <c r="C74" s="5" t="s">
        <v>324</v>
      </c>
      <c r="D74" s="5" t="s">
        <v>325</v>
      </c>
      <c r="E74" s="6" t="s">
        <v>326</v>
      </c>
      <c r="F74" s="6" t="s">
        <v>327</v>
      </c>
      <c r="G74" s="6" t="s">
        <v>328</v>
      </c>
      <c r="H74" s="5" t="s">
        <v>41</v>
      </c>
      <c r="I74" s="5" t="s">
        <v>9</v>
      </c>
      <c r="J74" s="5"/>
      <c r="K74" s="5"/>
      <c r="L74" s="5"/>
      <c r="M74" s="7"/>
      <c r="N74" s="6" t="s">
        <v>42</v>
      </c>
    </row>
    <row r="75" spans="1:14" ht="28.5">
      <c r="A75" s="5" t="s">
        <v>329</v>
      </c>
      <c r="B75" s="5" t="s">
        <v>35</v>
      </c>
      <c r="C75" s="5" t="s">
        <v>324</v>
      </c>
      <c r="D75" s="5" t="s">
        <v>330</v>
      </c>
      <c r="E75" s="6" t="s">
        <v>331</v>
      </c>
      <c r="F75" s="6" t="s">
        <v>332</v>
      </c>
      <c r="G75" s="6" t="s">
        <v>333</v>
      </c>
      <c r="H75" s="5" t="s">
        <v>41</v>
      </c>
      <c r="I75" s="5" t="s">
        <v>9</v>
      </c>
      <c r="J75" s="5"/>
      <c r="K75" s="5"/>
      <c r="L75" s="5"/>
      <c r="M75" s="7"/>
      <c r="N75" s="6" t="s">
        <v>42</v>
      </c>
    </row>
    <row r="76" spans="1:14" ht="28.5">
      <c r="A76" s="5" t="s">
        <v>334</v>
      </c>
      <c r="B76" s="5" t="s">
        <v>35</v>
      </c>
      <c r="C76" s="5" t="s">
        <v>324</v>
      </c>
      <c r="D76" s="5" t="s">
        <v>335</v>
      </c>
      <c r="E76" s="6" t="s">
        <v>336</v>
      </c>
      <c r="F76" s="6" t="s">
        <v>337</v>
      </c>
      <c r="G76" s="6" t="s">
        <v>338</v>
      </c>
      <c r="H76" s="5" t="s">
        <v>41</v>
      </c>
      <c r="I76" s="5" t="s">
        <v>9</v>
      </c>
      <c r="J76" s="5"/>
      <c r="K76" s="5"/>
      <c r="L76" s="5"/>
      <c r="M76" s="7"/>
      <c r="N76" s="6" t="s">
        <v>42</v>
      </c>
    </row>
    <row r="77" spans="1:14">
      <c r="A77" s="5" t="s">
        <v>339</v>
      </c>
      <c r="B77" s="5" t="s">
        <v>35</v>
      </c>
      <c r="C77" s="5" t="s">
        <v>324</v>
      </c>
      <c r="D77" s="5" t="s">
        <v>195</v>
      </c>
      <c r="E77" s="6" t="s">
        <v>340</v>
      </c>
      <c r="F77" s="6" t="s">
        <v>341</v>
      </c>
      <c r="G77" s="6" t="s">
        <v>342</v>
      </c>
      <c r="H77" s="5" t="s">
        <v>54</v>
      </c>
      <c r="I77" s="5" t="s">
        <v>9</v>
      </c>
      <c r="J77" s="5"/>
      <c r="K77" s="5"/>
      <c r="L77" s="5"/>
      <c r="M77" s="7"/>
      <c r="N77" s="6" t="s">
        <v>48</v>
      </c>
    </row>
    <row r="78" spans="1:14">
      <c r="A78" s="5" t="s">
        <v>343</v>
      </c>
      <c r="B78" s="5" t="s">
        <v>35</v>
      </c>
      <c r="C78" s="5" t="s">
        <v>344</v>
      </c>
      <c r="D78" s="5" t="s">
        <v>85</v>
      </c>
      <c r="E78" s="6" t="s">
        <v>345</v>
      </c>
      <c r="F78" s="6" t="s">
        <v>346</v>
      </c>
      <c r="G78" s="6" t="s">
        <v>347</v>
      </c>
      <c r="H78" s="5" t="s">
        <v>41</v>
      </c>
      <c r="I78" s="5" t="s">
        <v>9</v>
      </c>
      <c r="J78" s="5"/>
      <c r="K78" s="5"/>
      <c r="L78" s="5"/>
      <c r="M78" s="7"/>
      <c r="N78" s="6" t="s">
        <v>42</v>
      </c>
    </row>
    <row r="79" spans="1:14" ht="28.5">
      <c r="A79" s="5" t="s">
        <v>348</v>
      </c>
      <c r="B79" s="5" t="s">
        <v>35</v>
      </c>
      <c r="C79" s="5" t="s">
        <v>344</v>
      </c>
      <c r="D79" s="5" t="s">
        <v>115</v>
      </c>
      <c r="E79" s="6" t="s">
        <v>349</v>
      </c>
      <c r="F79" s="6" t="s">
        <v>350</v>
      </c>
      <c r="G79" s="6" t="s">
        <v>351</v>
      </c>
      <c r="H79" s="5" t="s">
        <v>41</v>
      </c>
      <c r="I79" s="5" t="s">
        <v>9</v>
      </c>
      <c r="J79" s="5"/>
      <c r="K79" s="5"/>
      <c r="L79" s="5"/>
      <c r="M79" s="7"/>
      <c r="N79" s="6" t="s">
        <v>95</v>
      </c>
    </row>
    <row r="80" spans="1:14">
      <c r="A80" s="5" t="s">
        <v>352</v>
      </c>
      <c r="B80" s="5" t="s">
        <v>35</v>
      </c>
      <c r="C80" s="5" t="s">
        <v>344</v>
      </c>
      <c r="D80" s="5" t="s">
        <v>325</v>
      </c>
      <c r="E80" s="6" t="s">
        <v>353</v>
      </c>
      <c r="F80" s="6" t="s">
        <v>354</v>
      </c>
      <c r="G80" s="6" t="s">
        <v>355</v>
      </c>
      <c r="H80" s="5" t="s">
        <v>54</v>
      </c>
      <c r="I80" s="5" t="s">
        <v>9</v>
      </c>
      <c r="J80" s="5"/>
      <c r="K80" s="5"/>
      <c r="L80" s="5"/>
      <c r="M80" s="7"/>
      <c r="N80" s="6" t="s">
        <v>42</v>
      </c>
    </row>
    <row r="81" spans="1:14">
      <c r="A81" s="5" t="s">
        <v>356</v>
      </c>
      <c r="B81" s="5" t="s">
        <v>35</v>
      </c>
      <c r="C81" s="5" t="s">
        <v>357</v>
      </c>
      <c r="D81" s="5" t="s">
        <v>358</v>
      </c>
      <c r="E81" s="6" t="s">
        <v>359</v>
      </c>
      <c r="F81" s="6" t="s">
        <v>360</v>
      </c>
      <c r="G81" s="6" t="s">
        <v>361</v>
      </c>
      <c r="H81" s="5" t="s">
        <v>41</v>
      </c>
      <c r="I81" s="5" t="s">
        <v>9</v>
      </c>
      <c r="J81" s="5"/>
      <c r="K81" s="5"/>
      <c r="L81" s="5"/>
      <c r="M81" s="7"/>
      <c r="N81" s="6" t="s">
        <v>42</v>
      </c>
    </row>
    <row r="82" spans="1:14" ht="28.5">
      <c r="A82" s="5" t="s">
        <v>362</v>
      </c>
      <c r="B82" s="5" t="s">
        <v>35</v>
      </c>
      <c r="C82" s="5" t="s">
        <v>357</v>
      </c>
      <c r="D82" s="5" t="s">
        <v>200</v>
      </c>
      <c r="E82" s="6" t="s">
        <v>363</v>
      </c>
      <c r="F82" s="6" t="s">
        <v>364</v>
      </c>
      <c r="G82" s="6" t="s">
        <v>365</v>
      </c>
      <c r="H82" s="5" t="s">
        <v>41</v>
      </c>
      <c r="I82" s="5" t="s">
        <v>9</v>
      </c>
      <c r="J82" s="5"/>
      <c r="K82" s="5"/>
      <c r="L82" s="5"/>
      <c r="M82" s="7"/>
      <c r="N82" s="6" t="s">
        <v>42</v>
      </c>
    </row>
    <row r="83" spans="1:14">
      <c r="A83" s="5" t="s">
        <v>366</v>
      </c>
      <c r="B83" s="5" t="s">
        <v>35</v>
      </c>
      <c r="C83" s="5" t="s">
        <v>357</v>
      </c>
      <c r="D83" s="5" t="s">
        <v>367</v>
      </c>
      <c r="E83" s="6" t="s">
        <v>368</v>
      </c>
      <c r="F83" s="6" t="s">
        <v>369</v>
      </c>
      <c r="G83" s="6" t="s">
        <v>370</v>
      </c>
      <c r="H83" s="5" t="s">
        <v>41</v>
      </c>
      <c r="I83" s="5" t="s">
        <v>9</v>
      </c>
      <c r="J83" s="5"/>
      <c r="K83" s="5"/>
      <c r="L83" s="5"/>
      <c r="M83" s="7"/>
      <c r="N83" s="6" t="s">
        <v>42</v>
      </c>
    </row>
    <row r="84" spans="1:14">
      <c r="A84" s="5" t="s">
        <v>371</v>
      </c>
      <c r="B84" s="5" t="s">
        <v>35</v>
      </c>
      <c r="C84" s="5" t="s">
        <v>357</v>
      </c>
      <c r="D84" s="5" t="s">
        <v>50</v>
      </c>
      <c r="E84" s="6" t="s">
        <v>372</v>
      </c>
      <c r="F84" s="6" t="s">
        <v>373</v>
      </c>
      <c r="G84" s="6" t="s">
        <v>374</v>
      </c>
      <c r="H84" s="5" t="s">
        <v>41</v>
      </c>
      <c r="I84" s="5" t="s">
        <v>9</v>
      </c>
      <c r="J84" s="5"/>
      <c r="K84" s="5"/>
      <c r="L84" s="5"/>
      <c r="M84" s="7"/>
      <c r="N84" s="6" t="s">
        <v>48</v>
      </c>
    </row>
    <row r="85" spans="1:14">
      <c r="A85" s="5" t="s">
        <v>375</v>
      </c>
      <c r="B85" s="5" t="s">
        <v>35</v>
      </c>
      <c r="C85" s="5" t="s">
        <v>376</v>
      </c>
      <c r="D85" s="5" t="s">
        <v>216</v>
      </c>
      <c r="E85" s="6" t="s">
        <v>377</v>
      </c>
      <c r="F85" s="6" t="s">
        <v>378</v>
      </c>
      <c r="G85" s="6" t="s">
        <v>379</v>
      </c>
      <c r="H85" s="5" t="s">
        <v>41</v>
      </c>
      <c r="I85" s="5" t="s">
        <v>9</v>
      </c>
      <c r="J85" s="5"/>
      <c r="K85" s="5"/>
      <c r="L85" s="5"/>
      <c r="M85" s="7"/>
      <c r="N85" s="6" t="s">
        <v>42</v>
      </c>
    </row>
    <row r="86" spans="1:14">
      <c r="A86" s="5" t="s">
        <v>380</v>
      </c>
      <c r="B86" s="5" t="s">
        <v>35</v>
      </c>
      <c r="C86" s="5" t="s">
        <v>376</v>
      </c>
      <c r="D86" s="5" t="s">
        <v>381</v>
      </c>
      <c r="E86" s="6" t="s">
        <v>382</v>
      </c>
      <c r="F86" s="6" t="s">
        <v>383</v>
      </c>
      <c r="G86" s="6" t="s">
        <v>384</v>
      </c>
      <c r="H86" s="5" t="s">
        <v>41</v>
      </c>
      <c r="I86" s="5" t="s">
        <v>9</v>
      </c>
      <c r="J86" s="5"/>
      <c r="K86" s="5"/>
      <c r="L86" s="5"/>
      <c r="M86" s="7"/>
      <c r="N86" s="6" t="s">
        <v>42</v>
      </c>
    </row>
    <row r="87" spans="1:14">
      <c r="A87" s="5" t="s">
        <v>385</v>
      </c>
      <c r="B87" s="5" t="s">
        <v>35</v>
      </c>
      <c r="C87" s="5" t="s">
        <v>376</v>
      </c>
      <c r="D87" s="5" t="s">
        <v>386</v>
      </c>
      <c r="E87" s="6" t="s">
        <v>387</v>
      </c>
      <c r="F87" s="6" t="s">
        <v>388</v>
      </c>
      <c r="G87" s="6" t="s">
        <v>389</v>
      </c>
      <c r="H87" s="5" t="s">
        <v>54</v>
      </c>
      <c r="I87" s="5" t="s">
        <v>9</v>
      </c>
      <c r="J87" s="5"/>
      <c r="K87" s="5"/>
      <c r="L87" s="5"/>
      <c r="M87" s="7"/>
      <c r="N87" s="6" t="s">
        <v>48</v>
      </c>
    </row>
    <row r="88" spans="1:14" ht="42.75">
      <c r="A88" s="5" t="s">
        <v>390</v>
      </c>
      <c r="B88" s="5" t="s">
        <v>35</v>
      </c>
      <c r="C88" s="5" t="s">
        <v>391</v>
      </c>
      <c r="D88" s="5" t="s">
        <v>330</v>
      </c>
      <c r="E88" s="6" t="s">
        <v>392</v>
      </c>
      <c r="F88" s="6" t="s">
        <v>393</v>
      </c>
      <c r="G88" s="6" t="s">
        <v>394</v>
      </c>
      <c r="H88" s="5" t="s">
        <v>54</v>
      </c>
      <c r="I88" s="5" t="s">
        <v>9</v>
      </c>
      <c r="J88" s="5"/>
      <c r="K88" s="5"/>
      <c r="L88" s="5"/>
      <c r="M88" s="7"/>
      <c r="N88" s="6" t="s">
        <v>42</v>
      </c>
    </row>
    <row r="89" spans="1:14">
      <c r="A89" s="5" t="s">
        <v>395</v>
      </c>
      <c r="B89" s="5" t="s">
        <v>35</v>
      </c>
      <c r="C89" s="5" t="s">
        <v>391</v>
      </c>
      <c r="D89" s="5" t="s">
        <v>396</v>
      </c>
      <c r="E89" s="6" t="s">
        <v>397</v>
      </c>
      <c r="F89" s="6" t="s">
        <v>398</v>
      </c>
      <c r="G89" s="6" t="s">
        <v>399</v>
      </c>
      <c r="H89" s="5" t="s">
        <v>54</v>
      </c>
      <c r="I89" s="5" t="s">
        <v>9</v>
      </c>
      <c r="J89" s="5"/>
      <c r="K89" s="5"/>
      <c r="L89" s="5"/>
      <c r="M89" s="7"/>
      <c r="N89" s="6" t="s">
        <v>42</v>
      </c>
    </row>
    <row r="90" spans="1:14">
      <c r="A90" s="5" t="s">
        <v>400</v>
      </c>
      <c r="B90" s="5" t="s">
        <v>35</v>
      </c>
      <c r="C90" s="5" t="s">
        <v>391</v>
      </c>
      <c r="D90" s="5" t="s">
        <v>401</v>
      </c>
      <c r="E90" s="6" t="s">
        <v>402</v>
      </c>
      <c r="F90" s="6" t="s">
        <v>403</v>
      </c>
      <c r="G90" s="6" t="s">
        <v>404</v>
      </c>
      <c r="H90" s="5" t="s">
        <v>54</v>
      </c>
      <c r="I90" s="5" t="s">
        <v>9</v>
      </c>
      <c r="J90" s="5"/>
      <c r="K90" s="5"/>
      <c r="L90" s="5"/>
      <c r="M90" s="7"/>
      <c r="N90" s="6" t="s">
        <v>42</v>
      </c>
    </row>
    <row r="91" spans="1:14" ht="28.5">
      <c r="A91" s="5" t="s">
        <v>405</v>
      </c>
      <c r="B91" s="5" t="s">
        <v>35</v>
      </c>
      <c r="C91" s="5" t="s">
        <v>391</v>
      </c>
      <c r="D91" s="5" t="s">
        <v>406</v>
      </c>
      <c r="E91" s="6" t="s">
        <v>407</v>
      </c>
      <c r="F91" s="6" t="s">
        <v>408</v>
      </c>
      <c r="G91" s="6" t="s">
        <v>409</v>
      </c>
      <c r="H91" s="5" t="s">
        <v>94</v>
      </c>
      <c r="I91" s="5" t="s">
        <v>9</v>
      </c>
      <c r="J91" s="5"/>
      <c r="K91" s="5"/>
      <c r="L91" s="5"/>
      <c r="M91" s="7"/>
      <c r="N91" s="6" t="s">
        <v>48</v>
      </c>
    </row>
  </sheetData>
  <mergeCells count="1">
    <mergeCell ref="A1:N2"/>
  </mergeCells>
  <conditionalFormatting sqref="I15:I91">
    <cfRule type="containsText" dxfId="14" priority="1" operator="containsText" text="Cumple"/>
    <cfRule type="containsText" dxfId="13" priority="2" operator="containsText" text="Parcial"/>
    <cfRule type="containsText" dxfId="12" priority="3" operator="containsText" text="No cumple"/>
    <cfRule type="containsText" dxfId="11" priority="4" operator="containsText" text="Bloqueado"/>
    <cfRule type="containsText" dxfId="10" priority="5" operator="containsText" text="En revisión"/>
  </conditionalFormatting>
  <dataValidations count="2">
    <dataValidation type="list" sqref="H15:H91" xr:uid="{00000000-0002-0000-0100-000000000000}">
      <formula1>"Crítica,Alta,Media,Baja"</formula1>
    </dataValidation>
    <dataValidation type="list" sqref="I15:I91" xr:uid="{00000000-0002-0000-0100-000001000000}">
      <formula1>"Pendiente,En revisión,Cumple,Parcial,No cumple,Bloqueado,No aplica"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2000000}">
          <x14:formula1>
            <xm:f>Catálogos!$D$5:$D$7</xm:f>
          </x14:formula1>
          <xm:sqref>L15:L91</xm:sqref>
        </x14:dataValidation>
        <x14:dataValidation type="list" xr:uid="{00000000-0002-0000-0100-000003000000}">
          <x14:formula1>
            <xm:f>Catálogos!$F$5:$F$35</xm:f>
          </x14:formula1>
          <xm:sqref>M15:M91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5"/>
  <sheetViews>
    <sheetView showGridLines="0" workbookViewId="0"/>
  </sheetViews>
  <sheetFormatPr baseColWidth="10" defaultColWidth="9" defaultRowHeight="14.25"/>
  <cols>
    <col min="1" max="1" width="13" customWidth="1"/>
    <col min="2" max="2" width="12" customWidth="1"/>
    <col min="3" max="3" width="28" customWidth="1"/>
    <col min="4" max="4" width="18" customWidth="1"/>
    <col min="5" max="5" width="42" customWidth="1"/>
    <col min="6" max="6" width="46" customWidth="1"/>
    <col min="7" max="7" width="42" customWidth="1"/>
    <col min="8" max="8" width="12" customWidth="1"/>
    <col min="9" max="9" width="15" customWidth="1"/>
    <col min="10" max="10" width="30" customWidth="1"/>
    <col min="11" max="11" width="22" customWidth="1"/>
    <col min="12" max="12" width="20" customWidth="1"/>
    <col min="13" max="13" width="16" customWidth="1"/>
    <col min="14" max="14" width="32" customWidth="1"/>
  </cols>
  <sheetData>
    <row r="1" spans="1:14">
      <c r="A1" s="17" t="s">
        <v>410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4" spans="1:14" ht="15">
      <c r="A4" s="1" t="s">
        <v>18</v>
      </c>
      <c r="B4" s="1" t="s">
        <v>19</v>
      </c>
    </row>
    <row r="5" spans="1:14">
      <c r="A5" s="2" t="s">
        <v>3</v>
      </c>
      <c r="B5" s="2">
        <f>COUNTA($A$15:$A$35)</f>
        <v>21</v>
      </c>
    </row>
    <row r="6" spans="1:14">
      <c r="A6" s="2" t="s">
        <v>4</v>
      </c>
      <c r="B6" s="2">
        <f>COUNTIF($I$15:$I$35,"Cumple")</f>
        <v>0</v>
      </c>
    </row>
    <row r="7" spans="1:14">
      <c r="A7" s="2" t="s">
        <v>5</v>
      </c>
      <c r="B7" s="2">
        <f>COUNTIF($I$15:$I$35,"Parcial")</f>
        <v>0</v>
      </c>
    </row>
    <row r="8" spans="1:14">
      <c r="A8" s="2" t="s">
        <v>6</v>
      </c>
      <c r="B8" s="2">
        <f>COUNTIF($I$15:$I$35,"No cumple")</f>
        <v>0</v>
      </c>
    </row>
    <row r="9" spans="1:14">
      <c r="A9" s="2" t="s">
        <v>7</v>
      </c>
      <c r="B9" s="2">
        <f>COUNTIF($I$15:$I$35,"En revisión")</f>
        <v>0</v>
      </c>
    </row>
    <row r="10" spans="1:14">
      <c r="A10" s="2" t="s">
        <v>8</v>
      </c>
      <c r="B10" s="2">
        <f>COUNTIF($I$15:$I$35,"Bloqueado")</f>
        <v>0</v>
      </c>
    </row>
    <row r="11" spans="1:14">
      <c r="A11" s="2" t="s">
        <v>9</v>
      </c>
      <c r="B11" s="2">
        <f>COUNTIF($I$15:$I$35,"Pendiente")</f>
        <v>21</v>
      </c>
    </row>
    <row r="12" spans="1:14">
      <c r="A12" s="2" t="s">
        <v>10</v>
      </c>
      <c r="B12" s="3">
        <f>IF(B5=0,0,(B6+B7*0.5)/B5)</f>
        <v>0</v>
      </c>
    </row>
    <row r="14" spans="1:14" ht="33.950000000000003" customHeight="1">
      <c r="A14" s="4" t="s">
        <v>20</v>
      </c>
      <c r="B14" s="4" t="s">
        <v>21</v>
      </c>
      <c r="C14" s="4" t="s">
        <v>22</v>
      </c>
      <c r="D14" s="4" t="s">
        <v>23</v>
      </c>
      <c r="E14" s="4" t="s">
        <v>24</v>
      </c>
      <c r="F14" s="4" t="s">
        <v>25</v>
      </c>
      <c r="G14" s="4" t="s">
        <v>26</v>
      </c>
      <c r="H14" s="4" t="s">
        <v>27</v>
      </c>
      <c r="I14" s="4" t="s">
        <v>28</v>
      </c>
      <c r="J14" s="4" t="s">
        <v>29</v>
      </c>
      <c r="K14" s="4" t="s">
        <v>30</v>
      </c>
      <c r="L14" s="4" t="s">
        <v>31</v>
      </c>
      <c r="M14" s="4" t="s">
        <v>32</v>
      </c>
      <c r="N14" s="4" t="s">
        <v>33</v>
      </c>
    </row>
    <row r="15" spans="1:14" ht="28.5">
      <c r="A15" s="5" t="s">
        <v>411</v>
      </c>
      <c r="B15" s="5" t="s">
        <v>412</v>
      </c>
      <c r="C15" s="5" t="s">
        <v>413</v>
      </c>
      <c r="D15" s="5" t="s">
        <v>414</v>
      </c>
      <c r="E15" s="6" t="s">
        <v>415</v>
      </c>
      <c r="F15" s="6" t="s">
        <v>416</v>
      </c>
      <c r="G15" s="6" t="s">
        <v>417</v>
      </c>
      <c r="H15" s="5" t="s">
        <v>54</v>
      </c>
      <c r="I15" s="5" t="s">
        <v>9</v>
      </c>
      <c r="J15" s="5"/>
      <c r="K15" s="5"/>
      <c r="L15" s="5"/>
      <c r="M15" s="7"/>
      <c r="N15" s="6" t="s">
        <v>42</v>
      </c>
    </row>
    <row r="16" spans="1:14" ht="28.5">
      <c r="A16" s="5" t="s">
        <v>418</v>
      </c>
      <c r="B16" s="5" t="s">
        <v>412</v>
      </c>
      <c r="C16" s="5" t="s">
        <v>413</v>
      </c>
      <c r="D16" s="5" t="s">
        <v>161</v>
      </c>
      <c r="E16" s="6" t="s">
        <v>419</v>
      </c>
      <c r="F16" s="6" t="s">
        <v>420</v>
      </c>
      <c r="G16" s="6" t="s">
        <v>421</v>
      </c>
      <c r="H16" s="5" t="s">
        <v>54</v>
      </c>
      <c r="I16" s="5" t="s">
        <v>9</v>
      </c>
      <c r="J16" s="5"/>
      <c r="K16" s="5"/>
      <c r="L16" s="5"/>
      <c r="M16" s="7"/>
      <c r="N16" s="6" t="s">
        <v>42</v>
      </c>
    </row>
    <row r="17" spans="1:14">
      <c r="A17" s="5" t="s">
        <v>422</v>
      </c>
      <c r="B17" s="5" t="s">
        <v>412</v>
      </c>
      <c r="C17" s="5" t="s">
        <v>413</v>
      </c>
      <c r="D17" s="5" t="s">
        <v>85</v>
      </c>
      <c r="E17" s="6" t="s">
        <v>423</v>
      </c>
      <c r="F17" s="6" t="s">
        <v>424</v>
      </c>
      <c r="G17" s="6" t="s">
        <v>425</v>
      </c>
      <c r="H17" s="5" t="s">
        <v>41</v>
      </c>
      <c r="I17" s="5" t="s">
        <v>9</v>
      </c>
      <c r="J17" s="5"/>
      <c r="K17" s="5"/>
      <c r="L17" s="5"/>
      <c r="M17" s="7"/>
      <c r="N17" s="6" t="s">
        <v>42</v>
      </c>
    </row>
    <row r="18" spans="1:14">
      <c r="A18" s="5" t="s">
        <v>426</v>
      </c>
      <c r="B18" s="5" t="s">
        <v>412</v>
      </c>
      <c r="C18" s="5" t="s">
        <v>427</v>
      </c>
      <c r="D18" s="5" t="s">
        <v>115</v>
      </c>
      <c r="E18" s="6" t="s">
        <v>428</v>
      </c>
      <c r="F18" s="6" t="s">
        <v>429</v>
      </c>
      <c r="G18" s="6" t="s">
        <v>430</v>
      </c>
      <c r="H18" s="5" t="s">
        <v>41</v>
      </c>
      <c r="I18" s="5" t="s">
        <v>9</v>
      </c>
      <c r="J18" s="5"/>
      <c r="K18" s="5"/>
      <c r="L18" s="5"/>
      <c r="M18" s="7"/>
      <c r="N18" s="6" t="s">
        <v>42</v>
      </c>
    </row>
    <row r="19" spans="1:14" ht="28.5">
      <c r="A19" s="5" t="s">
        <v>431</v>
      </c>
      <c r="B19" s="5" t="s">
        <v>412</v>
      </c>
      <c r="C19" s="5" t="s">
        <v>427</v>
      </c>
      <c r="D19" s="5" t="s">
        <v>432</v>
      </c>
      <c r="E19" s="6" t="s">
        <v>433</v>
      </c>
      <c r="F19" s="6" t="s">
        <v>434</v>
      </c>
      <c r="G19" s="6" t="s">
        <v>435</v>
      </c>
      <c r="H19" s="5" t="s">
        <v>94</v>
      </c>
      <c r="I19" s="5" t="s">
        <v>9</v>
      </c>
      <c r="J19" s="5"/>
      <c r="K19" s="5"/>
      <c r="L19" s="5"/>
      <c r="M19" s="7"/>
      <c r="N19" s="6" t="s">
        <v>95</v>
      </c>
    </row>
    <row r="20" spans="1:14">
      <c r="A20" s="5" t="s">
        <v>436</v>
      </c>
      <c r="B20" s="5" t="s">
        <v>412</v>
      </c>
      <c r="C20" s="5" t="s">
        <v>437</v>
      </c>
      <c r="D20" s="5" t="s">
        <v>50</v>
      </c>
      <c r="E20" s="6" t="s">
        <v>438</v>
      </c>
      <c r="F20" s="6" t="s">
        <v>439</v>
      </c>
      <c r="G20" s="6" t="s">
        <v>440</v>
      </c>
      <c r="H20" s="5" t="s">
        <v>41</v>
      </c>
      <c r="I20" s="5" t="s">
        <v>9</v>
      </c>
      <c r="J20" s="5"/>
      <c r="K20" s="5"/>
      <c r="L20" s="5"/>
      <c r="M20" s="7"/>
      <c r="N20" s="6" t="s">
        <v>42</v>
      </c>
    </row>
    <row r="21" spans="1:14" ht="28.5">
      <c r="A21" s="5" t="s">
        <v>441</v>
      </c>
      <c r="B21" s="5" t="s">
        <v>412</v>
      </c>
      <c r="C21" s="5" t="s">
        <v>437</v>
      </c>
      <c r="D21" s="5" t="s">
        <v>37</v>
      </c>
      <c r="E21" s="6" t="s">
        <v>442</v>
      </c>
      <c r="F21" s="6" t="s">
        <v>443</v>
      </c>
      <c r="G21" s="6" t="s">
        <v>444</v>
      </c>
      <c r="H21" s="5" t="s">
        <v>54</v>
      </c>
      <c r="I21" s="5" t="s">
        <v>9</v>
      </c>
      <c r="J21" s="5"/>
      <c r="K21" s="5"/>
      <c r="L21" s="5"/>
      <c r="M21" s="7"/>
      <c r="N21" s="6" t="s">
        <v>42</v>
      </c>
    </row>
    <row r="22" spans="1:14" ht="28.5">
      <c r="A22" s="5" t="s">
        <v>445</v>
      </c>
      <c r="B22" s="5" t="s">
        <v>412</v>
      </c>
      <c r="C22" s="5" t="s">
        <v>446</v>
      </c>
      <c r="D22" s="5" t="s">
        <v>71</v>
      </c>
      <c r="E22" s="6" t="s">
        <v>447</v>
      </c>
      <c r="F22" s="6" t="s">
        <v>448</v>
      </c>
      <c r="G22" s="6" t="s">
        <v>449</v>
      </c>
      <c r="H22" s="5" t="s">
        <v>41</v>
      </c>
      <c r="I22" s="5" t="s">
        <v>9</v>
      </c>
      <c r="J22" s="5"/>
      <c r="K22" s="5"/>
      <c r="L22" s="5"/>
      <c r="M22" s="7"/>
      <c r="N22" s="6" t="s">
        <v>42</v>
      </c>
    </row>
    <row r="23" spans="1:14" ht="28.5">
      <c r="A23" s="5" t="s">
        <v>450</v>
      </c>
      <c r="B23" s="5" t="s">
        <v>412</v>
      </c>
      <c r="C23" s="5" t="s">
        <v>451</v>
      </c>
      <c r="D23" s="5" t="s">
        <v>452</v>
      </c>
      <c r="E23" s="6" t="s">
        <v>453</v>
      </c>
      <c r="F23" s="6" t="s">
        <v>454</v>
      </c>
      <c r="G23" s="6" t="s">
        <v>455</v>
      </c>
      <c r="H23" s="5" t="s">
        <v>94</v>
      </c>
      <c r="I23" s="5" t="s">
        <v>9</v>
      </c>
      <c r="J23" s="5"/>
      <c r="K23" s="5"/>
      <c r="L23" s="5"/>
      <c r="M23" s="7"/>
      <c r="N23" s="6" t="s">
        <v>42</v>
      </c>
    </row>
    <row r="24" spans="1:14">
      <c r="A24" s="5" t="s">
        <v>456</v>
      </c>
      <c r="B24" s="5" t="s">
        <v>412</v>
      </c>
      <c r="C24" s="5" t="s">
        <v>457</v>
      </c>
      <c r="D24" s="5" t="s">
        <v>458</v>
      </c>
      <c r="E24" s="6" t="s">
        <v>459</v>
      </c>
      <c r="F24" s="6" t="s">
        <v>460</v>
      </c>
      <c r="G24" s="6" t="s">
        <v>461</v>
      </c>
      <c r="H24" s="5" t="s">
        <v>54</v>
      </c>
      <c r="I24" s="5" t="s">
        <v>9</v>
      </c>
      <c r="J24" s="5"/>
      <c r="K24" s="5"/>
      <c r="L24" s="5"/>
      <c r="M24" s="7"/>
      <c r="N24" s="6" t="s">
        <v>42</v>
      </c>
    </row>
    <row r="25" spans="1:14" ht="28.5">
      <c r="A25" s="5" t="s">
        <v>462</v>
      </c>
      <c r="B25" s="5" t="s">
        <v>412</v>
      </c>
      <c r="C25" s="5" t="s">
        <v>457</v>
      </c>
      <c r="D25" s="5" t="s">
        <v>463</v>
      </c>
      <c r="E25" s="6" t="s">
        <v>464</v>
      </c>
      <c r="F25" s="6" t="s">
        <v>465</v>
      </c>
      <c r="G25" s="6" t="s">
        <v>466</v>
      </c>
      <c r="H25" s="5" t="s">
        <v>54</v>
      </c>
      <c r="I25" s="5" t="s">
        <v>9</v>
      </c>
      <c r="J25" s="5"/>
      <c r="K25" s="5"/>
      <c r="L25" s="5"/>
      <c r="M25" s="7"/>
      <c r="N25" s="6" t="s">
        <v>42</v>
      </c>
    </row>
    <row r="26" spans="1:14" ht="28.5">
      <c r="A26" s="5" t="s">
        <v>467</v>
      </c>
      <c r="B26" s="5" t="s">
        <v>412</v>
      </c>
      <c r="C26" s="5" t="s">
        <v>457</v>
      </c>
      <c r="D26" s="5" t="s">
        <v>468</v>
      </c>
      <c r="E26" s="6" t="s">
        <v>469</v>
      </c>
      <c r="F26" s="6" t="s">
        <v>470</v>
      </c>
      <c r="G26" s="6" t="s">
        <v>471</v>
      </c>
      <c r="H26" s="5" t="s">
        <v>41</v>
      </c>
      <c r="I26" s="5" t="s">
        <v>9</v>
      </c>
      <c r="J26" s="5"/>
      <c r="K26" s="5"/>
      <c r="L26" s="5"/>
      <c r="M26" s="7"/>
      <c r="N26" s="6" t="s">
        <v>42</v>
      </c>
    </row>
    <row r="27" spans="1:14">
      <c r="A27" s="5" t="s">
        <v>472</v>
      </c>
      <c r="B27" s="5" t="s">
        <v>412</v>
      </c>
      <c r="C27" s="5" t="s">
        <v>457</v>
      </c>
      <c r="D27" s="5" t="s">
        <v>473</v>
      </c>
      <c r="E27" s="6" t="s">
        <v>474</v>
      </c>
      <c r="F27" s="6" t="s">
        <v>475</v>
      </c>
      <c r="G27" s="6" t="s">
        <v>476</v>
      </c>
      <c r="H27" s="5" t="s">
        <v>54</v>
      </c>
      <c r="I27" s="5" t="s">
        <v>9</v>
      </c>
      <c r="J27" s="5"/>
      <c r="K27" s="5"/>
      <c r="L27" s="5"/>
      <c r="M27" s="7"/>
      <c r="N27" s="6" t="s">
        <v>42</v>
      </c>
    </row>
    <row r="28" spans="1:14" ht="28.5">
      <c r="A28" s="5" t="s">
        <v>477</v>
      </c>
      <c r="B28" s="5" t="s">
        <v>412</v>
      </c>
      <c r="C28" s="5" t="s">
        <v>457</v>
      </c>
      <c r="D28" s="5" t="s">
        <v>478</v>
      </c>
      <c r="E28" s="6" t="s">
        <v>479</v>
      </c>
      <c r="F28" s="6" t="s">
        <v>480</v>
      </c>
      <c r="G28" s="6" t="s">
        <v>481</v>
      </c>
      <c r="H28" s="5" t="s">
        <v>54</v>
      </c>
      <c r="I28" s="5" t="s">
        <v>9</v>
      </c>
      <c r="J28" s="5"/>
      <c r="K28" s="5"/>
      <c r="L28" s="5"/>
      <c r="M28" s="7"/>
      <c r="N28" s="6" t="s">
        <v>42</v>
      </c>
    </row>
    <row r="29" spans="1:14" ht="28.5">
      <c r="A29" s="5" t="s">
        <v>482</v>
      </c>
      <c r="B29" s="5" t="s">
        <v>412</v>
      </c>
      <c r="C29" s="5" t="s">
        <v>457</v>
      </c>
      <c r="D29" s="5" t="s">
        <v>483</v>
      </c>
      <c r="E29" s="6" t="s">
        <v>484</v>
      </c>
      <c r="F29" s="6" t="s">
        <v>485</v>
      </c>
      <c r="G29" s="6" t="s">
        <v>486</v>
      </c>
      <c r="H29" s="5" t="s">
        <v>54</v>
      </c>
      <c r="I29" s="5" t="s">
        <v>9</v>
      </c>
      <c r="J29" s="5"/>
      <c r="K29" s="5"/>
      <c r="L29" s="5"/>
      <c r="M29" s="7"/>
      <c r="N29" s="6" t="s">
        <v>42</v>
      </c>
    </row>
    <row r="30" spans="1:14">
      <c r="A30" s="5" t="s">
        <v>487</v>
      </c>
      <c r="B30" s="5" t="s">
        <v>412</v>
      </c>
      <c r="C30" s="5" t="s">
        <v>457</v>
      </c>
      <c r="D30" s="5" t="s">
        <v>488</v>
      </c>
      <c r="E30" s="6" t="s">
        <v>489</v>
      </c>
      <c r="F30" s="6" t="s">
        <v>490</v>
      </c>
      <c r="G30" s="6" t="s">
        <v>491</v>
      </c>
      <c r="H30" s="5" t="s">
        <v>54</v>
      </c>
      <c r="I30" s="5" t="s">
        <v>9</v>
      </c>
      <c r="J30" s="5"/>
      <c r="K30" s="5"/>
      <c r="L30" s="5"/>
      <c r="M30" s="7"/>
      <c r="N30" s="6" t="s">
        <v>42</v>
      </c>
    </row>
    <row r="31" spans="1:14">
      <c r="A31" s="5" t="s">
        <v>492</v>
      </c>
      <c r="B31" s="5" t="s">
        <v>412</v>
      </c>
      <c r="C31" s="5" t="s">
        <v>457</v>
      </c>
      <c r="D31" s="5" t="s">
        <v>273</v>
      </c>
      <c r="E31" s="6" t="s">
        <v>493</v>
      </c>
      <c r="F31" s="6" t="s">
        <v>494</v>
      </c>
      <c r="G31" s="6" t="s">
        <v>495</v>
      </c>
      <c r="H31" s="5" t="s">
        <v>94</v>
      </c>
      <c r="I31" s="5" t="s">
        <v>9</v>
      </c>
      <c r="J31" s="5"/>
      <c r="K31" s="5"/>
      <c r="L31" s="5"/>
      <c r="M31" s="7"/>
      <c r="N31" s="6" t="s">
        <v>42</v>
      </c>
    </row>
    <row r="32" spans="1:14">
      <c r="A32" s="5" t="s">
        <v>496</v>
      </c>
      <c r="B32" s="5" t="s">
        <v>412</v>
      </c>
      <c r="C32" s="5" t="s">
        <v>457</v>
      </c>
      <c r="D32" s="5" t="s">
        <v>497</v>
      </c>
      <c r="E32" s="6" t="s">
        <v>498</v>
      </c>
      <c r="F32" s="6" t="s">
        <v>499</v>
      </c>
      <c r="G32" s="6" t="s">
        <v>500</v>
      </c>
      <c r="H32" s="5" t="s">
        <v>54</v>
      </c>
      <c r="I32" s="5" t="s">
        <v>9</v>
      </c>
      <c r="J32" s="5"/>
      <c r="K32" s="5"/>
      <c r="L32" s="5"/>
      <c r="M32" s="7"/>
      <c r="N32" s="6" t="s">
        <v>42</v>
      </c>
    </row>
    <row r="33" spans="1:14" ht="28.5">
      <c r="A33" s="5" t="s">
        <v>501</v>
      </c>
      <c r="B33" s="5" t="s">
        <v>412</v>
      </c>
      <c r="C33" s="5" t="s">
        <v>457</v>
      </c>
      <c r="D33" s="5" t="s">
        <v>502</v>
      </c>
      <c r="E33" s="6" t="s">
        <v>503</v>
      </c>
      <c r="F33" s="6" t="s">
        <v>504</v>
      </c>
      <c r="G33" s="6" t="s">
        <v>505</v>
      </c>
      <c r="H33" s="5" t="s">
        <v>54</v>
      </c>
      <c r="I33" s="5" t="s">
        <v>9</v>
      </c>
      <c r="J33" s="5"/>
      <c r="K33" s="5"/>
      <c r="L33" s="5"/>
      <c r="M33" s="7"/>
      <c r="N33" s="6" t="s">
        <v>42</v>
      </c>
    </row>
    <row r="34" spans="1:14" ht="28.5">
      <c r="A34" s="5" t="s">
        <v>506</v>
      </c>
      <c r="B34" s="5" t="s">
        <v>412</v>
      </c>
      <c r="C34" s="5" t="s">
        <v>457</v>
      </c>
      <c r="D34" s="5" t="s">
        <v>507</v>
      </c>
      <c r="E34" s="6" t="s">
        <v>508</v>
      </c>
      <c r="F34" s="6" t="s">
        <v>509</v>
      </c>
      <c r="G34" s="6" t="s">
        <v>510</v>
      </c>
      <c r="H34" s="5" t="s">
        <v>41</v>
      </c>
      <c r="I34" s="5" t="s">
        <v>9</v>
      </c>
      <c r="J34" s="5"/>
      <c r="K34" s="5"/>
      <c r="L34" s="5"/>
      <c r="M34" s="7"/>
      <c r="N34" s="6" t="s">
        <v>42</v>
      </c>
    </row>
    <row r="35" spans="1:14" ht="28.5">
      <c r="A35" s="5" t="s">
        <v>511</v>
      </c>
      <c r="B35" s="5" t="s">
        <v>412</v>
      </c>
      <c r="C35" s="5" t="s">
        <v>457</v>
      </c>
      <c r="D35" s="5" t="s">
        <v>324</v>
      </c>
      <c r="E35" s="6" t="s">
        <v>512</v>
      </c>
      <c r="F35" s="6" t="s">
        <v>513</v>
      </c>
      <c r="G35" s="6" t="s">
        <v>514</v>
      </c>
      <c r="H35" s="5" t="s">
        <v>41</v>
      </c>
      <c r="I35" s="5" t="s">
        <v>9</v>
      </c>
      <c r="J35" s="5"/>
      <c r="K35" s="5"/>
      <c r="L35" s="5"/>
      <c r="M35" s="7"/>
      <c r="N35" s="6" t="s">
        <v>42</v>
      </c>
    </row>
  </sheetData>
  <mergeCells count="1">
    <mergeCell ref="A1:N2"/>
  </mergeCells>
  <conditionalFormatting sqref="I15:I35">
    <cfRule type="containsText" dxfId="9" priority="1" operator="containsText" text="Cumple"/>
    <cfRule type="containsText" dxfId="8" priority="2" operator="containsText" text="Parcial"/>
    <cfRule type="containsText" dxfId="7" priority="3" operator="containsText" text="No cumple"/>
    <cfRule type="containsText" dxfId="6" priority="4" operator="containsText" text="Bloqueado"/>
    <cfRule type="containsText" dxfId="5" priority="5" operator="containsText" text="En revisión"/>
  </conditionalFormatting>
  <dataValidations count="2">
    <dataValidation type="list" sqref="H15:H35" xr:uid="{00000000-0002-0000-0200-000000000000}">
      <formula1>"Crítica,Alta,Media,Baja"</formula1>
    </dataValidation>
    <dataValidation type="list" sqref="I15:I35" xr:uid="{00000000-0002-0000-0200-000001000000}">
      <formula1>"Pendiente,En revisión,Cumple,Parcial,No cumple,Bloqueado,No aplica"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2000000}">
          <x14:formula1>
            <xm:f>Catálogos!$D$5:$D$7</xm:f>
          </x14:formula1>
          <xm:sqref>L15:L35</xm:sqref>
        </x14:dataValidation>
        <x14:dataValidation type="list" xr:uid="{00000000-0002-0000-0200-000003000000}">
          <x14:formula1>
            <xm:f>Catálogos!$F$5:$F$35</xm:f>
          </x14:formula1>
          <xm:sqref>M15:M35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5"/>
  <sheetViews>
    <sheetView showGridLines="0" topLeftCell="A28" workbookViewId="0">
      <selection sqref="A1:N2"/>
    </sheetView>
  </sheetViews>
  <sheetFormatPr baseColWidth="10" defaultColWidth="9" defaultRowHeight="14.25"/>
  <cols>
    <col min="1" max="1" width="13" customWidth="1"/>
    <col min="2" max="2" width="12" customWidth="1"/>
    <col min="3" max="3" width="28" customWidth="1"/>
    <col min="4" max="4" width="18" customWidth="1"/>
    <col min="5" max="5" width="42" customWidth="1"/>
    <col min="6" max="6" width="46" customWidth="1"/>
    <col min="7" max="7" width="42" customWidth="1"/>
    <col min="8" max="8" width="12" customWidth="1"/>
    <col min="9" max="9" width="15" customWidth="1"/>
    <col min="10" max="10" width="30" customWidth="1"/>
    <col min="11" max="11" width="22" customWidth="1"/>
    <col min="12" max="12" width="20" customWidth="1"/>
    <col min="13" max="13" width="16" customWidth="1"/>
    <col min="14" max="14" width="32" customWidth="1"/>
  </cols>
  <sheetData>
    <row r="1" spans="1:14">
      <c r="A1" s="17" t="s">
        <v>515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4" spans="1:14" ht="15">
      <c r="A4" s="1" t="s">
        <v>18</v>
      </c>
      <c r="B4" s="1" t="s">
        <v>19</v>
      </c>
    </row>
    <row r="5" spans="1:14">
      <c r="A5" s="2" t="s">
        <v>3</v>
      </c>
      <c r="B5" s="2">
        <f>COUNTA($A$15:$A$45)</f>
        <v>31</v>
      </c>
    </row>
    <row r="6" spans="1:14">
      <c r="A6" s="2" t="s">
        <v>4</v>
      </c>
      <c r="B6" s="2">
        <f>COUNTIF($I$15:$I$45,"Cumple")</f>
        <v>0</v>
      </c>
    </row>
    <row r="7" spans="1:14">
      <c r="A7" s="2" t="s">
        <v>5</v>
      </c>
      <c r="B7" s="2">
        <f>COUNTIF($I$15:$I$45,"Parcial")</f>
        <v>0</v>
      </c>
    </row>
    <row r="8" spans="1:14">
      <c r="A8" s="2" t="s">
        <v>6</v>
      </c>
      <c r="B8" s="2">
        <f>COUNTIF($I$15:$I$45,"No cumple")</f>
        <v>0</v>
      </c>
    </row>
    <row r="9" spans="1:14">
      <c r="A9" s="2" t="s">
        <v>7</v>
      </c>
      <c r="B9" s="2">
        <f>COUNTIF($I$15:$I$45,"En revisión")</f>
        <v>0</v>
      </c>
    </row>
    <row r="10" spans="1:14">
      <c r="A10" s="2" t="s">
        <v>8</v>
      </c>
      <c r="B10" s="2">
        <f>COUNTIF($I$15:$I$45,"Bloqueado")</f>
        <v>0</v>
      </c>
    </row>
    <row r="11" spans="1:14">
      <c r="A11" s="2" t="s">
        <v>9</v>
      </c>
      <c r="B11" s="2">
        <f>COUNTIF($I$15:$I$45,"Pendiente")</f>
        <v>31</v>
      </c>
    </row>
    <row r="12" spans="1:14">
      <c r="A12" s="2" t="s">
        <v>10</v>
      </c>
      <c r="B12" s="3">
        <f>IF(B5=0,0,(B6+B7*0.5)/B5)</f>
        <v>0</v>
      </c>
    </row>
    <row r="14" spans="1:14" ht="33.950000000000003" customHeight="1">
      <c r="A14" s="4" t="s">
        <v>20</v>
      </c>
      <c r="B14" s="4" t="s">
        <v>21</v>
      </c>
      <c r="C14" s="4" t="s">
        <v>22</v>
      </c>
      <c r="D14" s="4" t="s">
        <v>23</v>
      </c>
      <c r="E14" s="4" t="s">
        <v>24</v>
      </c>
      <c r="F14" s="4" t="s">
        <v>25</v>
      </c>
      <c r="G14" s="4" t="s">
        <v>26</v>
      </c>
      <c r="H14" s="4" t="s">
        <v>27</v>
      </c>
      <c r="I14" s="4" t="s">
        <v>28</v>
      </c>
      <c r="J14" s="4" t="s">
        <v>29</v>
      </c>
      <c r="K14" s="4" t="s">
        <v>30</v>
      </c>
      <c r="L14" s="4" t="s">
        <v>31</v>
      </c>
      <c r="M14" s="4" t="s">
        <v>32</v>
      </c>
      <c r="N14" s="4" t="s">
        <v>33</v>
      </c>
    </row>
    <row r="15" spans="1:14">
      <c r="A15" s="5" t="s">
        <v>516</v>
      </c>
      <c r="B15" s="5" t="s">
        <v>517</v>
      </c>
      <c r="C15" s="5" t="s">
        <v>518</v>
      </c>
      <c r="D15" s="5" t="s">
        <v>519</v>
      </c>
      <c r="E15" s="6" t="s">
        <v>520</v>
      </c>
      <c r="F15" s="6" t="s">
        <v>521</v>
      </c>
      <c r="G15" s="6" t="s">
        <v>522</v>
      </c>
      <c r="H15" s="5" t="s">
        <v>54</v>
      </c>
      <c r="I15" s="5" t="s">
        <v>9</v>
      </c>
      <c r="J15" s="5"/>
      <c r="K15" s="5"/>
      <c r="L15" s="5"/>
      <c r="M15" s="7"/>
      <c r="N15" s="6" t="s">
        <v>42</v>
      </c>
    </row>
    <row r="16" spans="1:14">
      <c r="A16" s="5" t="s">
        <v>523</v>
      </c>
      <c r="B16" s="5" t="s">
        <v>517</v>
      </c>
      <c r="C16" s="5" t="s">
        <v>524</v>
      </c>
      <c r="D16" s="5" t="s">
        <v>525</v>
      </c>
      <c r="E16" s="6" t="s">
        <v>526</v>
      </c>
      <c r="F16" s="6" t="s">
        <v>527</v>
      </c>
      <c r="G16" s="6" t="s">
        <v>528</v>
      </c>
      <c r="H16" s="5" t="s">
        <v>54</v>
      </c>
      <c r="I16" s="5" t="s">
        <v>9</v>
      </c>
      <c r="J16" s="5"/>
      <c r="K16" s="5"/>
      <c r="L16" s="5"/>
      <c r="M16" s="7"/>
      <c r="N16" s="6" t="s">
        <v>42</v>
      </c>
    </row>
    <row r="17" spans="1:14" ht="28.5">
      <c r="A17" s="5" t="s">
        <v>529</v>
      </c>
      <c r="B17" s="5" t="s">
        <v>517</v>
      </c>
      <c r="C17" s="5" t="s">
        <v>524</v>
      </c>
      <c r="D17" s="5" t="s">
        <v>432</v>
      </c>
      <c r="E17" s="6" t="s">
        <v>530</v>
      </c>
      <c r="F17" s="6" t="s">
        <v>531</v>
      </c>
      <c r="G17" s="6" t="s">
        <v>532</v>
      </c>
      <c r="H17" s="5" t="s">
        <v>94</v>
      </c>
      <c r="I17" s="5" t="s">
        <v>9</v>
      </c>
      <c r="J17" s="5"/>
      <c r="K17" s="5"/>
      <c r="L17" s="5"/>
      <c r="M17" s="7"/>
      <c r="N17" s="6" t="s">
        <v>48</v>
      </c>
    </row>
    <row r="18" spans="1:14" ht="28.5">
      <c r="A18" s="5" t="s">
        <v>533</v>
      </c>
      <c r="B18" s="5" t="s">
        <v>517</v>
      </c>
      <c r="C18" s="5" t="s">
        <v>534</v>
      </c>
      <c r="D18" s="5" t="s">
        <v>115</v>
      </c>
      <c r="E18" s="6" t="s">
        <v>535</v>
      </c>
      <c r="F18" s="6" t="s">
        <v>536</v>
      </c>
      <c r="G18" s="6" t="s">
        <v>537</v>
      </c>
      <c r="H18" s="5" t="s">
        <v>54</v>
      </c>
      <c r="I18" s="5" t="s">
        <v>9</v>
      </c>
      <c r="J18" s="5"/>
      <c r="K18" s="5"/>
      <c r="L18" s="5"/>
      <c r="M18" s="7"/>
      <c r="N18" s="6" t="s">
        <v>42</v>
      </c>
    </row>
    <row r="19" spans="1:14" ht="28.5">
      <c r="A19" s="5" t="s">
        <v>538</v>
      </c>
      <c r="B19" s="5" t="s">
        <v>517</v>
      </c>
      <c r="C19" s="5" t="s">
        <v>539</v>
      </c>
      <c r="D19" s="5" t="s">
        <v>540</v>
      </c>
      <c r="E19" s="6" t="s">
        <v>541</v>
      </c>
      <c r="F19" s="6" t="s">
        <v>542</v>
      </c>
      <c r="G19" s="6" t="s">
        <v>543</v>
      </c>
      <c r="H19" s="5" t="s">
        <v>41</v>
      </c>
      <c r="I19" s="5" t="s">
        <v>9</v>
      </c>
      <c r="J19" s="5"/>
      <c r="K19" s="5"/>
      <c r="L19" s="5"/>
      <c r="M19" s="7"/>
      <c r="N19" s="6" t="s">
        <v>42</v>
      </c>
    </row>
    <row r="20" spans="1:14" ht="42.75">
      <c r="A20" s="5" t="s">
        <v>544</v>
      </c>
      <c r="B20" s="5" t="s">
        <v>517</v>
      </c>
      <c r="C20" s="5" t="s">
        <v>539</v>
      </c>
      <c r="D20" s="5" t="s">
        <v>545</v>
      </c>
      <c r="E20" s="6" t="s">
        <v>546</v>
      </c>
      <c r="F20" s="6" t="s">
        <v>547</v>
      </c>
      <c r="G20" s="6" t="s">
        <v>548</v>
      </c>
      <c r="H20" s="5" t="s">
        <v>54</v>
      </c>
      <c r="I20" s="5" t="s">
        <v>9</v>
      </c>
      <c r="J20" s="5"/>
      <c r="K20" s="5"/>
      <c r="L20" s="5"/>
      <c r="M20" s="7"/>
      <c r="N20" s="6" t="s">
        <v>549</v>
      </c>
    </row>
    <row r="21" spans="1:14" ht="42.75">
      <c r="A21" s="5" t="s">
        <v>550</v>
      </c>
      <c r="B21" s="5" t="s">
        <v>517</v>
      </c>
      <c r="C21" s="5" t="s">
        <v>539</v>
      </c>
      <c r="D21" s="5" t="s">
        <v>551</v>
      </c>
      <c r="E21" s="6" t="s">
        <v>552</v>
      </c>
      <c r="F21" s="6" t="s">
        <v>553</v>
      </c>
      <c r="G21" s="6" t="s">
        <v>554</v>
      </c>
      <c r="H21" s="5" t="s">
        <v>54</v>
      </c>
      <c r="I21" s="5" t="s">
        <v>9</v>
      </c>
      <c r="J21" s="5"/>
      <c r="K21" s="5"/>
      <c r="L21" s="5"/>
      <c r="M21" s="7"/>
      <c r="N21" s="6" t="s">
        <v>549</v>
      </c>
    </row>
    <row r="22" spans="1:14" ht="28.5">
      <c r="A22" s="5" t="s">
        <v>555</v>
      </c>
      <c r="B22" s="5" t="s">
        <v>517</v>
      </c>
      <c r="C22" s="5" t="s">
        <v>556</v>
      </c>
      <c r="D22" s="5" t="s">
        <v>210</v>
      </c>
      <c r="E22" s="6" t="s">
        <v>557</v>
      </c>
      <c r="F22" s="6" t="s">
        <v>558</v>
      </c>
      <c r="G22" s="6" t="s">
        <v>559</v>
      </c>
      <c r="H22" s="5" t="s">
        <v>41</v>
      </c>
      <c r="I22" s="5" t="s">
        <v>9</v>
      </c>
      <c r="J22" s="5"/>
      <c r="K22" s="5"/>
      <c r="L22" s="5"/>
      <c r="M22" s="7"/>
      <c r="N22" s="6" t="s">
        <v>48</v>
      </c>
    </row>
    <row r="23" spans="1:14" ht="28.5">
      <c r="A23" s="5" t="s">
        <v>560</v>
      </c>
      <c r="B23" s="5" t="s">
        <v>517</v>
      </c>
      <c r="C23" s="5" t="s">
        <v>556</v>
      </c>
      <c r="D23" s="5" t="s">
        <v>561</v>
      </c>
      <c r="E23" s="6" t="s">
        <v>562</v>
      </c>
      <c r="F23" s="6" t="s">
        <v>563</v>
      </c>
      <c r="G23" s="6" t="s">
        <v>564</v>
      </c>
      <c r="H23" s="5" t="s">
        <v>41</v>
      </c>
      <c r="I23" s="5" t="s">
        <v>9</v>
      </c>
      <c r="J23" s="5"/>
      <c r="K23" s="5"/>
      <c r="L23" s="5"/>
      <c r="M23" s="7"/>
      <c r="N23" s="6" t="s">
        <v>42</v>
      </c>
    </row>
    <row r="24" spans="1:14" ht="28.5">
      <c r="A24" s="5" t="s">
        <v>565</v>
      </c>
      <c r="B24" s="5" t="s">
        <v>517</v>
      </c>
      <c r="C24" s="5" t="s">
        <v>50</v>
      </c>
      <c r="D24" s="5" t="s">
        <v>566</v>
      </c>
      <c r="E24" s="6" t="s">
        <v>567</v>
      </c>
      <c r="F24" s="6" t="s">
        <v>568</v>
      </c>
      <c r="G24" s="6" t="s">
        <v>569</v>
      </c>
      <c r="H24" s="5" t="s">
        <v>41</v>
      </c>
      <c r="I24" s="5" t="s">
        <v>9</v>
      </c>
      <c r="J24" s="5"/>
      <c r="K24" s="5"/>
      <c r="L24" s="5"/>
      <c r="M24" s="7"/>
      <c r="N24" s="6" t="s">
        <v>48</v>
      </c>
    </row>
    <row r="25" spans="1:14" ht="28.5">
      <c r="A25" s="5" t="s">
        <v>570</v>
      </c>
      <c r="B25" s="5" t="s">
        <v>517</v>
      </c>
      <c r="C25" s="5" t="s">
        <v>50</v>
      </c>
      <c r="D25" s="5" t="s">
        <v>571</v>
      </c>
      <c r="E25" s="6" t="s">
        <v>572</v>
      </c>
      <c r="F25" s="6" t="s">
        <v>573</v>
      </c>
      <c r="G25" s="6" t="s">
        <v>574</v>
      </c>
      <c r="H25" s="5" t="s">
        <v>41</v>
      </c>
      <c r="I25" s="5" t="s">
        <v>9</v>
      </c>
      <c r="J25" s="5"/>
      <c r="K25" s="5"/>
      <c r="L25" s="5"/>
      <c r="M25" s="7"/>
      <c r="N25" s="6" t="s">
        <v>48</v>
      </c>
    </row>
    <row r="26" spans="1:14" ht="28.5">
      <c r="A26" s="5" t="s">
        <v>575</v>
      </c>
      <c r="B26" s="5" t="s">
        <v>517</v>
      </c>
      <c r="C26" s="5" t="s">
        <v>50</v>
      </c>
      <c r="D26" s="5" t="s">
        <v>576</v>
      </c>
      <c r="E26" s="6" t="s">
        <v>577</v>
      </c>
      <c r="F26" s="6" t="s">
        <v>578</v>
      </c>
      <c r="G26" s="6" t="s">
        <v>579</v>
      </c>
      <c r="H26" s="5" t="s">
        <v>54</v>
      </c>
      <c r="I26" s="5" t="s">
        <v>9</v>
      </c>
      <c r="J26" s="5"/>
      <c r="K26" s="5"/>
      <c r="L26" s="5"/>
      <c r="M26" s="7"/>
      <c r="N26" s="6" t="s">
        <v>48</v>
      </c>
    </row>
    <row r="27" spans="1:14" ht="28.5">
      <c r="A27" s="5" t="s">
        <v>580</v>
      </c>
      <c r="B27" s="5" t="s">
        <v>517</v>
      </c>
      <c r="C27" s="5" t="s">
        <v>406</v>
      </c>
      <c r="D27" s="5" t="s">
        <v>581</v>
      </c>
      <c r="E27" s="6" t="s">
        <v>582</v>
      </c>
      <c r="F27" s="6" t="s">
        <v>583</v>
      </c>
      <c r="G27" s="6" t="s">
        <v>584</v>
      </c>
      <c r="H27" s="5" t="s">
        <v>54</v>
      </c>
      <c r="I27" s="5" t="s">
        <v>9</v>
      </c>
      <c r="J27" s="5"/>
      <c r="K27" s="5"/>
      <c r="L27" s="5"/>
      <c r="M27" s="7"/>
      <c r="N27" s="6" t="s">
        <v>48</v>
      </c>
    </row>
    <row r="28" spans="1:14">
      <c r="A28" s="5" t="s">
        <v>585</v>
      </c>
      <c r="B28" s="5" t="s">
        <v>517</v>
      </c>
      <c r="C28" s="5" t="s">
        <v>586</v>
      </c>
      <c r="D28" s="5" t="s">
        <v>587</v>
      </c>
      <c r="E28" s="6" t="s">
        <v>588</v>
      </c>
      <c r="F28" s="6" t="s">
        <v>589</v>
      </c>
      <c r="G28" s="6" t="s">
        <v>590</v>
      </c>
      <c r="H28" s="5" t="s">
        <v>41</v>
      </c>
      <c r="I28" s="5" t="s">
        <v>9</v>
      </c>
      <c r="J28" s="5"/>
      <c r="K28" s="5"/>
      <c r="L28" s="5"/>
      <c r="M28" s="7"/>
      <c r="N28" s="6" t="s">
        <v>48</v>
      </c>
    </row>
    <row r="29" spans="1:14">
      <c r="A29" s="5" t="s">
        <v>591</v>
      </c>
      <c r="B29" s="5" t="s">
        <v>517</v>
      </c>
      <c r="C29" s="5" t="s">
        <v>586</v>
      </c>
      <c r="D29" s="5" t="s">
        <v>592</v>
      </c>
      <c r="E29" s="6" t="s">
        <v>593</v>
      </c>
      <c r="F29" s="6" t="s">
        <v>594</v>
      </c>
      <c r="G29" s="6" t="s">
        <v>595</v>
      </c>
      <c r="H29" s="5" t="s">
        <v>41</v>
      </c>
      <c r="I29" s="5" t="s">
        <v>9</v>
      </c>
      <c r="J29" s="5"/>
      <c r="K29" s="5"/>
      <c r="L29" s="5"/>
      <c r="M29" s="7"/>
      <c r="N29" s="6" t="s">
        <v>48</v>
      </c>
    </row>
    <row r="30" spans="1:14" ht="28.5">
      <c r="A30" s="5" t="s">
        <v>596</v>
      </c>
      <c r="B30" s="5" t="s">
        <v>517</v>
      </c>
      <c r="C30" s="5" t="s">
        <v>597</v>
      </c>
      <c r="D30" s="5" t="s">
        <v>598</v>
      </c>
      <c r="E30" s="6" t="s">
        <v>599</v>
      </c>
      <c r="F30" s="6" t="s">
        <v>600</v>
      </c>
      <c r="G30" s="6" t="s">
        <v>601</v>
      </c>
      <c r="H30" s="5" t="s">
        <v>54</v>
      </c>
      <c r="I30" s="5" t="s">
        <v>9</v>
      </c>
      <c r="J30" s="5"/>
      <c r="K30" s="5"/>
      <c r="L30" s="5"/>
      <c r="M30" s="7"/>
      <c r="N30" s="6" t="s">
        <v>48</v>
      </c>
    </row>
    <row r="31" spans="1:14" ht="28.5">
      <c r="A31" s="5" t="s">
        <v>602</v>
      </c>
      <c r="B31" s="5" t="s">
        <v>517</v>
      </c>
      <c r="C31" s="5" t="s">
        <v>603</v>
      </c>
      <c r="D31" s="5" t="s">
        <v>604</v>
      </c>
      <c r="E31" s="6" t="s">
        <v>605</v>
      </c>
      <c r="F31" s="6" t="s">
        <v>606</v>
      </c>
      <c r="G31" s="6" t="s">
        <v>607</v>
      </c>
      <c r="H31" s="5" t="s">
        <v>54</v>
      </c>
      <c r="I31" s="5" t="s">
        <v>9</v>
      </c>
      <c r="J31" s="5"/>
      <c r="K31" s="5"/>
      <c r="L31" s="5"/>
      <c r="M31" s="7"/>
      <c r="N31" s="6" t="s">
        <v>48</v>
      </c>
    </row>
    <row r="32" spans="1:14" ht="28.5">
      <c r="A32" s="5" t="s">
        <v>608</v>
      </c>
      <c r="B32" s="5" t="s">
        <v>517</v>
      </c>
      <c r="C32" s="5" t="s">
        <v>603</v>
      </c>
      <c r="D32" s="5" t="s">
        <v>609</v>
      </c>
      <c r="E32" s="6" t="s">
        <v>610</v>
      </c>
      <c r="F32" s="6" t="s">
        <v>611</v>
      </c>
      <c r="G32" s="6" t="s">
        <v>612</v>
      </c>
      <c r="H32" s="5" t="s">
        <v>54</v>
      </c>
      <c r="I32" s="5" t="s">
        <v>9</v>
      </c>
      <c r="J32" s="5"/>
      <c r="K32" s="5"/>
      <c r="L32" s="5"/>
      <c r="M32" s="7"/>
      <c r="N32" s="6" t="s">
        <v>613</v>
      </c>
    </row>
    <row r="33" spans="1:14" ht="28.5">
      <c r="A33" s="5" t="s">
        <v>614</v>
      </c>
      <c r="B33" s="5" t="s">
        <v>615</v>
      </c>
      <c r="C33" s="5" t="s">
        <v>616</v>
      </c>
      <c r="D33" s="5" t="s">
        <v>617</v>
      </c>
      <c r="E33" s="6" t="s">
        <v>618</v>
      </c>
      <c r="F33" s="6" t="s">
        <v>619</v>
      </c>
      <c r="G33" s="6" t="s">
        <v>620</v>
      </c>
      <c r="H33" s="5" t="s">
        <v>41</v>
      </c>
      <c r="I33" s="5" t="s">
        <v>9</v>
      </c>
      <c r="J33" s="5"/>
      <c r="K33" s="5"/>
      <c r="L33" s="5"/>
      <c r="M33" s="7"/>
      <c r="N33" s="6" t="s">
        <v>42</v>
      </c>
    </row>
    <row r="34" spans="1:14">
      <c r="A34" s="5" t="s">
        <v>621</v>
      </c>
      <c r="B34" s="5" t="s">
        <v>615</v>
      </c>
      <c r="C34" s="5" t="s">
        <v>616</v>
      </c>
      <c r="D34" s="5" t="s">
        <v>622</v>
      </c>
      <c r="E34" s="6" t="s">
        <v>623</v>
      </c>
      <c r="F34" s="6" t="s">
        <v>624</v>
      </c>
      <c r="G34" s="6" t="s">
        <v>625</v>
      </c>
      <c r="H34" s="5" t="s">
        <v>41</v>
      </c>
      <c r="I34" s="5" t="s">
        <v>9</v>
      </c>
      <c r="J34" s="5"/>
      <c r="K34" s="5"/>
      <c r="L34" s="5"/>
      <c r="M34" s="7"/>
      <c r="N34" s="6" t="s">
        <v>42</v>
      </c>
    </row>
    <row r="35" spans="1:14">
      <c r="A35" s="5" t="s">
        <v>626</v>
      </c>
      <c r="B35" s="5" t="s">
        <v>615</v>
      </c>
      <c r="C35" s="5" t="s">
        <v>616</v>
      </c>
      <c r="D35" s="5" t="s">
        <v>627</v>
      </c>
      <c r="E35" s="6" t="s">
        <v>628</v>
      </c>
      <c r="F35" s="6" t="s">
        <v>629</v>
      </c>
      <c r="G35" s="6" t="s">
        <v>630</v>
      </c>
      <c r="H35" s="5" t="s">
        <v>41</v>
      </c>
      <c r="I35" s="5" t="s">
        <v>9</v>
      </c>
      <c r="J35" s="5"/>
      <c r="K35" s="5"/>
      <c r="L35" s="5"/>
      <c r="M35" s="7"/>
      <c r="N35" s="6" t="s">
        <v>42</v>
      </c>
    </row>
    <row r="36" spans="1:14">
      <c r="A36" s="5" t="s">
        <v>631</v>
      </c>
      <c r="B36" s="5" t="s">
        <v>615</v>
      </c>
      <c r="C36" s="5" t="s">
        <v>616</v>
      </c>
      <c r="D36" s="5" t="s">
        <v>551</v>
      </c>
      <c r="E36" s="6" t="s">
        <v>632</v>
      </c>
      <c r="F36" s="6" t="s">
        <v>633</v>
      </c>
      <c r="G36" s="6" t="s">
        <v>634</v>
      </c>
      <c r="H36" s="5" t="s">
        <v>54</v>
      </c>
      <c r="I36" s="5" t="s">
        <v>9</v>
      </c>
      <c r="J36" s="5"/>
      <c r="K36" s="5"/>
      <c r="L36" s="5"/>
      <c r="M36" s="7"/>
      <c r="N36" s="6" t="s">
        <v>42</v>
      </c>
    </row>
    <row r="37" spans="1:14">
      <c r="A37" s="5" t="s">
        <v>635</v>
      </c>
      <c r="B37" s="5" t="s">
        <v>615</v>
      </c>
      <c r="C37" s="5" t="s">
        <v>616</v>
      </c>
      <c r="D37" s="5" t="s">
        <v>636</v>
      </c>
      <c r="E37" s="6" t="s">
        <v>637</v>
      </c>
      <c r="F37" s="6" t="s">
        <v>638</v>
      </c>
      <c r="G37" s="6" t="s">
        <v>639</v>
      </c>
      <c r="H37" s="5" t="s">
        <v>54</v>
      </c>
      <c r="I37" s="5" t="s">
        <v>9</v>
      </c>
      <c r="J37" s="5"/>
      <c r="K37" s="5"/>
      <c r="L37" s="5"/>
      <c r="M37" s="7"/>
      <c r="N37" s="6" t="s">
        <v>42</v>
      </c>
    </row>
    <row r="38" spans="1:14">
      <c r="A38" s="5" t="s">
        <v>640</v>
      </c>
      <c r="B38" s="5" t="s">
        <v>615</v>
      </c>
      <c r="C38" s="5" t="s">
        <v>641</v>
      </c>
      <c r="D38" s="5" t="s">
        <v>642</v>
      </c>
      <c r="E38" s="6" t="s">
        <v>643</v>
      </c>
      <c r="F38" s="6" t="s">
        <v>644</v>
      </c>
      <c r="G38" s="6" t="s">
        <v>645</v>
      </c>
      <c r="H38" s="5" t="s">
        <v>54</v>
      </c>
      <c r="I38" s="5" t="s">
        <v>9</v>
      </c>
      <c r="J38" s="5"/>
      <c r="K38" s="5"/>
      <c r="L38" s="5"/>
      <c r="M38" s="7"/>
      <c r="N38" s="6" t="s">
        <v>42</v>
      </c>
    </row>
    <row r="39" spans="1:14">
      <c r="A39" s="5" t="s">
        <v>646</v>
      </c>
      <c r="B39" s="5" t="s">
        <v>615</v>
      </c>
      <c r="C39" s="5" t="s">
        <v>641</v>
      </c>
      <c r="D39" s="5" t="s">
        <v>647</v>
      </c>
      <c r="E39" s="6" t="s">
        <v>648</v>
      </c>
      <c r="F39" s="6" t="s">
        <v>649</v>
      </c>
      <c r="G39" s="6" t="s">
        <v>650</v>
      </c>
      <c r="H39" s="5" t="s">
        <v>94</v>
      </c>
      <c r="I39" s="5" t="s">
        <v>9</v>
      </c>
      <c r="J39" s="5"/>
      <c r="K39" s="5"/>
      <c r="L39" s="5"/>
      <c r="M39" s="7"/>
      <c r="N39" s="6" t="s">
        <v>42</v>
      </c>
    </row>
    <row r="40" spans="1:14" ht="28.5">
      <c r="A40" s="5" t="s">
        <v>651</v>
      </c>
      <c r="B40" s="5" t="s">
        <v>615</v>
      </c>
      <c r="C40" s="5" t="s">
        <v>641</v>
      </c>
      <c r="D40" s="5" t="s">
        <v>652</v>
      </c>
      <c r="E40" s="6" t="s">
        <v>653</v>
      </c>
      <c r="F40" s="6" t="s">
        <v>654</v>
      </c>
      <c r="G40" s="6" t="s">
        <v>655</v>
      </c>
      <c r="H40" s="5" t="s">
        <v>54</v>
      </c>
      <c r="I40" s="5" t="s">
        <v>9</v>
      </c>
      <c r="J40" s="5"/>
      <c r="K40" s="5"/>
      <c r="L40" s="5"/>
      <c r="M40" s="7"/>
      <c r="N40" s="6" t="s">
        <v>42</v>
      </c>
    </row>
    <row r="41" spans="1:14" ht="42.75">
      <c r="A41" s="5" t="s">
        <v>656</v>
      </c>
      <c r="B41" s="5" t="s">
        <v>615</v>
      </c>
      <c r="C41" s="5" t="s">
        <v>657</v>
      </c>
      <c r="D41" s="5" t="s">
        <v>658</v>
      </c>
      <c r="E41" s="6" t="s">
        <v>659</v>
      </c>
      <c r="F41" s="6" t="s">
        <v>660</v>
      </c>
      <c r="G41" s="6" t="s">
        <v>661</v>
      </c>
      <c r="H41" s="5" t="s">
        <v>54</v>
      </c>
      <c r="I41" s="5" t="s">
        <v>9</v>
      </c>
      <c r="J41" s="5"/>
      <c r="K41" s="5"/>
      <c r="L41" s="5"/>
      <c r="M41" s="7"/>
      <c r="N41" s="6" t="s">
        <v>42</v>
      </c>
    </row>
    <row r="42" spans="1:14" ht="28.5">
      <c r="A42" s="5" t="s">
        <v>662</v>
      </c>
      <c r="B42" s="5" t="s">
        <v>615</v>
      </c>
      <c r="C42" s="5" t="s">
        <v>657</v>
      </c>
      <c r="D42" s="5" t="s">
        <v>663</v>
      </c>
      <c r="E42" s="6" t="s">
        <v>664</v>
      </c>
      <c r="F42" s="6" t="s">
        <v>665</v>
      </c>
      <c r="G42" s="6" t="s">
        <v>666</v>
      </c>
      <c r="H42" s="5" t="s">
        <v>54</v>
      </c>
      <c r="I42" s="5" t="s">
        <v>9</v>
      </c>
      <c r="J42" s="5"/>
      <c r="K42" s="5"/>
      <c r="L42" s="5"/>
      <c r="M42" s="7"/>
      <c r="N42" s="6" t="s">
        <v>42</v>
      </c>
    </row>
    <row r="43" spans="1:14" ht="28.5">
      <c r="A43" s="5" t="s">
        <v>667</v>
      </c>
      <c r="B43" s="5" t="s">
        <v>615</v>
      </c>
      <c r="C43" s="5" t="s">
        <v>668</v>
      </c>
      <c r="D43" s="5" t="s">
        <v>35</v>
      </c>
      <c r="E43" s="6" t="s">
        <v>669</v>
      </c>
      <c r="F43" s="6" t="s">
        <v>670</v>
      </c>
      <c r="G43" s="6" t="s">
        <v>671</v>
      </c>
      <c r="H43" s="5" t="s">
        <v>54</v>
      </c>
      <c r="I43" s="5" t="s">
        <v>9</v>
      </c>
      <c r="J43" s="5"/>
      <c r="K43" s="5"/>
      <c r="L43" s="5"/>
      <c r="M43" s="7"/>
      <c r="N43" s="6" t="s">
        <v>42</v>
      </c>
    </row>
    <row r="44" spans="1:14" ht="28.5">
      <c r="A44" s="5" t="s">
        <v>672</v>
      </c>
      <c r="B44" s="5" t="s">
        <v>615</v>
      </c>
      <c r="C44" s="5" t="s">
        <v>668</v>
      </c>
      <c r="D44" s="5" t="s">
        <v>412</v>
      </c>
      <c r="E44" s="6" t="s">
        <v>673</v>
      </c>
      <c r="F44" s="6" t="s">
        <v>674</v>
      </c>
      <c r="G44" s="6" t="s">
        <v>675</v>
      </c>
      <c r="H44" s="5" t="s">
        <v>54</v>
      </c>
      <c r="I44" s="5" t="s">
        <v>9</v>
      </c>
      <c r="J44" s="5"/>
      <c r="K44" s="5"/>
      <c r="L44" s="5"/>
      <c r="M44" s="7"/>
      <c r="N44" s="6" t="s">
        <v>42</v>
      </c>
    </row>
    <row r="45" spans="1:14" ht="28.5">
      <c r="A45" s="5" t="s">
        <v>676</v>
      </c>
      <c r="B45" s="5" t="s">
        <v>615</v>
      </c>
      <c r="C45" s="5" t="s">
        <v>677</v>
      </c>
      <c r="D45" s="5" t="s">
        <v>678</v>
      </c>
      <c r="E45" s="6" t="s">
        <v>679</v>
      </c>
      <c r="F45" s="6" t="s">
        <v>680</v>
      </c>
      <c r="G45" s="6" t="s">
        <v>681</v>
      </c>
      <c r="H45" s="5" t="s">
        <v>54</v>
      </c>
      <c r="I45" s="5" t="s">
        <v>9</v>
      </c>
      <c r="J45" s="5"/>
      <c r="K45" s="5"/>
      <c r="L45" s="5"/>
      <c r="M45" s="7"/>
      <c r="N45" s="6" t="s">
        <v>42</v>
      </c>
    </row>
  </sheetData>
  <mergeCells count="1">
    <mergeCell ref="A1:N2"/>
  </mergeCells>
  <conditionalFormatting sqref="I15:I45">
    <cfRule type="containsText" dxfId="4" priority="1" operator="containsText" text="Cumple"/>
    <cfRule type="containsText" dxfId="3" priority="2" operator="containsText" text="Parcial"/>
    <cfRule type="containsText" dxfId="2" priority="3" operator="containsText" text="No cumple"/>
    <cfRule type="containsText" dxfId="1" priority="4" operator="containsText" text="Bloqueado"/>
    <cfRule type="containsText" dxfId="0" priority="5" operator="containsText" text="En revisión"/>
  </conditionalFormatting>
  <dataValidations count="2">
    <dataValidation type="list" sqref="H15:H45" xr:uid="{00000000-0002-0000-0300-000000000000}">
      <formula1>"Crítica,Alta,Media,Baja"</formula1>
    </dataValidation>
    <dataValidation type="list" sqref="I15:I45" xr:uid="{00000000-0002-0000-0300-000001000000}">
      <formula1>"Pendiente,En revisión,Cumple,Parcial,No cumple,Bloqueado,No aplica"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300-000002000000}">
          <x14:formula1>
            <xm:f>Catálogos!$D$5:$D$7</xm:f>
          </x14:formula1>
          <xm:sqref>L15:L45</xm:sqref>
        </x14:dataValidation>
        <x14:dataValidation type="list" xr:uid="{00000000-0002-0000-0300-000003000000}">
          <x14:formula1>
            <xm:f>Catálogos!$F$5:$F$35</xm:f>
          </x14:formula1>
          <xm:sqref>M15:M45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showGridLines="0" workbookViewId="0">
      <selection sqref="A1:F2"/>
    </sheetView>
  </sheetViews>
  <sheetFormatPr baseColWidth="10" defaultColWidth="9" defaultRowHeight="14.25"/>
  <cols>
    <col min="1" max="1" width="9" customWidth="1"/>
    <col min="2" max="2" width="28" customWidth="1"/>
    <col min="3" max="5" width="26" customWidth="1"/>
    <col min="6" max="6" width="32" customWidth="1"/>
  </cols>
  <sheetData>
    <row r="1" spans="1:6">
      <c r="A1" s="18" t="s">
        <v>682</v>
      </c>
      <c r="B1" s="18"/>
      <c r="C1" s="18"/>
      <c r="D1" s="18"/>
      <c r="E1" s="18"/>
      <c r="F1" s="18"/>
    </row>
    <row r="2" spans="1:6">
      <c r="A2" s="18"/>
      <c r="B2" s="18"/>
      <c r="C2" s="18"/>
      <c r="D2" s="18"/>
      <c r="E2" s="18"/>
      <c r="F2" s="18"/>
    </row>
    <row r="4" spans="1:6" ht="15">
      <c r="A4" s="8" t="s">
        <v>683</v>
      </c>
      <c r="B4" s="8" t="s">
        <v>684</v>
      </c>
      <c r="C4" s="8" t="s">
        <v>685</v>
      </c>
      <c r="D4" s="8" t="s">
        <v>539</v>
      </c>
      <c r="E4" s="8" t="s">
        <v>556</v>
      </c>
      <c r="F4" s="8" t="s">
        <v>686</v>
      </c>
    </row>
    <row r="5" spans="1:6" ht="28.5">
      <c r="A5" s="9">
        <v>1</v>
      </c>
      <c r="B5" s="9" t="s">
        <v>687</v>
      </c>
      <c r="C5" s="9" t="s">
        <v>688</v>
      </c>
      <c r="D5" s="9" t="s">
        <v>689</v>
      </c>
      <c r="E5" s="9" t="s">
        <v>690</v>
      </c>
      <c r="F5" s="9" t="s">
        <v>691</v>
      </c>
    </row>
    <row r="6" spans="1:6">
      <c r="A6" s="9">
        <v>2</v>
      </c>
      <c r="B6" s="9" t="s">
        <v>692</v>
      </c>
      <c r="C6" s="9" t="s">
        <v>693</v>
      </c>
      <c r="D6" s="9" t="s">
        <v>694</v>
      </c>
      <c r="E6" s="9" t="s">
        <v>695</v>
      </c>
      <c r="F6" s="9" t="s">
        <v>696</v>
      </c>
    </row>
    <row r="7" spans="1:6">
      <c r="A7" s="9">
        <v>3</v>
      </c>
      <c r="B7" s="9" t="s">
        <v>697</v>
      </c>
      <c r="C7" s="9" t="s">
        <v>698</v>
      </c>
      <c r="D7" s="9" t="s">
        <v>699</v>
      </c>
      <c r="E7" s="9" t="s">
        <v>700</v>
      </c>
      <c r="F7" s="9" t="s">
        <v>701</v>
      </c>
    </row>
    <row r="8" spans="1:6">
      <c r="A8" s="9">
        <v>4</v>
      </c>
      <c r="B8" s="9" t="s">
        <v>702</v>
      </c>
      <c r="C8" s="9" t="s">
        <v>703</v>
      </c>
      <c r="D8" s="9" t="s">
        <v>704</v>
      </c>
      <c r="E8" s="9" t="s">
        <v>705</v>
      </c>
      <c r="F8" s="9" t="s">
        <v>706</v>
      </c>
    </row>
    <row r="9" spans="1:6" ht="28.5">
      <c r="A9" s="9">
        <v>5</v>
      </c>
      <c r="B9" s="9" t="s">
        <v>707</v>
      </c>
      <c r="C9" s="9" t="s">
        <v>708</v>
      </c>
      <c r="D9" s="9" t="s">
        <v>709</v>
      </c>
      <c r="E9" s="9" t="s">
        <v>710</v>
      </c>
      <c r="F9" s="9" t="s">
        <v>711</v>
      </c>
    </row>
    <row r="10" spans="1:6">
      <c r="A10" s="9">
        <v>6</v>
      </c>
      <c r="B10" s="9" t="s">
        <v>325</v>
      </c>
      <c r="C10" s="9" t="s">
        <v>712</v>
      </c>
      <c r="D10" s="9" t="s">
        <v>713</v>
      </c>
      <c r="E10" s="9" t="s">
        <v>714</v>
      </c>
      <c r="F10" s="9" t="s">
        <v>715</v>
      </c>
    </row>
    <row r="11" spans="1:6" ht="28.5">
      <c r="A11" s="9">
        <v>7</v>
      </c>
      <c r="B11" s="9" t="s">
        <v>716</v>
      </c>
      <c r="C11" s="9" t="s">
        <v>717</v>
      </c>
      <c r="D11" s="9" t="s">
        <v>718</v>
      </c>
      <c r="E11" s="9" t="s">
        <v>719</v>
      </c>
      <c r="F11" s="9" t="s">
        <v>720</v>
      </c>
    </row>
    <row r="13" spans="1:6" ht="15">
      <c r="A13" s="15" t="s">
        <v>721</v>
      </c>
      <c r="B13" s="15"/>
      <c r="C13" s="15"/>
      <c r="D13" s="15"/>
      <c r="E13" s="15"/>
      <c r="F13" s="15"/>
    </row>
    <row r="14" spans="1:6">
      <c r="A14" s="16" t="s">
        <v>722</v>
      </c>
      <c r="B14" s="16"/>
      <c r="C14" s="16"/>
      <c r="D14" s="16"/>
      <c r="E14" s="16"/>
      <c r="F14" s="16"/>
    </row>
    <row r="15" spans="1:6">
      <c r="A15" s="16" t="s">
        <v>723</v>
      </c>
      <c r="B15" s="16"/>
      <c r="C15" s="16"/>
      <c r="D15" s="16"/>
      <c r="E15" s="16"/>
      <c r="F15" s="16"/>
    </row>
    <row r="16" spans="1:6">
      <c r="A16" s="16" t="s">
        <v>724</v>
      </c>
      <c r="B16" s="16"/>
      <c r="C16" s="16"/>
      <c r="D16" s="16"/>
      <c r="E16" s="16"/>
      <c r="F16" s="16"/>
    </row>
    <row r="17" spans="1:6">
      <c r="A17" s="16" t="s">
        <v>725</v>
      </c>
      <c r="B17" s="16"/>
      <c r="C17" s="16"/>
      <c r="D17" s="16"/>
      <c r="E17" s="16"/>
      <c r="F17" s="16"/>
    </row>
    <row r="18" spans="1:6">
      <c r="A18" s="16" t="s">
        <v>726</v>
      </c>
      <c r="B18" s="16"/>
      <c r="C18" s="16"/>
      <c r="D18" s="16"/>
      <c r="E18" s="16"/>
      <c r="F18" s="16"/>
    </row>
    <row r="19" spans="1:6">
      <c r="A19" s="16" t="s">
        <v>727</v>
      </c>
      <c r="B19" s="16"/>
      <c r="C19" s="16"/>
      <c r="D19" s="16"/>
      <c r="E19" s="16"/>
      <c r="F19" s="16"/>
    </row>
    <row r="20" spans="1:6">
      <c r="A20" s="16" t="s">
        <v>728</v>
      </c>
      <c r="B20" s="16"/>
      <c r="C20" s="16"/>
      <c r="D20" s="16"/>
      <c r="E20" s="16"/>
      <c r="F20" s="16"/>
    </row>
  </sheetData>
  <mergeCells count="9">
    <mergeCell ref="A17:F17"/>
    <mergeCell ref="A18:F18"/>
    <mergeCell ref="A19:F19"/>
    <mergeCell ref="A20:F20"/>
    <mergeCell ref="A1:F2"/>
    <mergeCell ref="A13:F13"/>
    <mergeCell ref="A14:F14"/>
    <mergeCell ref="A15:F15"/>
    <mergeCell ref="A16:F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5"/>
  <sheetViews>
    <sheetView showGridLines="0" topLeftCell="A10" workbookViewId="0">
      <selection sqref="A1:D2"/>
    </sheetView>
  </sheetViews>
  <sheetFormatPr baseColWidth="10" defaultColWidth="9" defaultRowHeight="14.25"/>
  <cols>
    <col min="1" max="1" width="36" customWidth="1"/>
    <col min="2" max="2" width="72" customWidth="1"/>
    <col min="3" max="3" width="6" customWidth="1"/>
    <col min="4" max="4" width="22" customWidth="1"/>
    <col min="6" max="6" width="18" customWidth="1"/>
  </cols>
  <sheetData>
    <row r="1" spans="1:6">
      <c r="A1" s="18" t="s">
        <v>729</v>
      </c>
      <c r="B1" s="18"/>
      <c r="C1" s="18"/>
      <c r="D1" s="18"/>
    </row>
    <row r="2" spans="1:6">
      <c r="A2" s="18"/>
      <c r="B2" s="18"/>
      <c r="C2" s="18"/>
      <c r="D2" s="18"/>
    </row>
    <row r="4" spans="1:6" ht="15">
      <c r="A4" s="11" t="s">
        <v>28</v>
      </c>
      <c r="B4" s="11" t="s">
        <v>730</v>
      </c>
      <c r="D4" s="11" t="s">
        <v>731</v>
      </c>
      <c r="F4" s="11" t="s">
        <v>732</v>
      </c>
    </row>
    <row r="5" spans="1:6">
      <c r="A5" s="2" t="s">
        <v>9</v>
      </c>
      <c r="B5" s="2" t="s">
        <v>733</v>
      </c>
      <c r="D5" s="2" t="s">
        <v>734</v>
      </c>
      <c r="F5" s="12">
        <v>46223</v>
      </c>
    </row>
    <row r="6" spans="1:6">
      <c r="A6" s="2" t="s">
        <v>7</v>
      </c>
      <c r="B6" s="2" t="s">
        <v>735</v>
      </c>
      <c r="D6" s="2" t="s">
        <v>736</v>
      </c>
      <c r="F6" s="12">
        <v>46224</v>
      </c>
    </row>
    <row r="7" spans="1:6">
      <c r="A7" s="2" t="s">
        <v>4</v>
      </c>
      <c r="B7" s="2" t="s">
        <v>737</v>
      </c>
      <c r="D7" s="2" t="s">
        <v>738</v>
      </c>
      <c r="F7" s="12">
        <v>46225</v>
      </c>
    </row>
    <row r="8" spans="1:6">
      <c r="A8" s="2" t="s">
        <v>5</v>
      </c>
      <c r="B8" s="2" t="s">
        <v>739</v>
      </c>
      <c r="F8" s="12">
        <v>46226</v>
      </c>
    </row>
    <row r="9" spans="1:6">
      <c r="A9" s="2" t="s">
        <v>6</v>
      </c>
      <c r="B9" s="2" t="s">
        <v>740</v>
      </c>
      <c r="F9" s="12">
        <v>46227</v>
      </c>
    </row>
    <row r="10" spans="1:6">
      <c r="A10" s="2" t="s">
        <v>8</v>
      </c>
      <c r="B10" s="2" t="s">
        <v>741</v>
      </c>
      <c r="F10" s="12">
        <v>46228</v>
      </c>
    </row>
    <row r="11" spans="1:6">
      <c r="A11" s="2" t="s">
        <v>742</v>
      </c>
      <c r="B11" s="2" t="s">
        <v>743</v>
      </c>
      <c r="F11" s="12">
        <v>46229</v>
      </c>
    </row>
    <row r="12" spans="1:6">
      <c r="A12" s="2"/>
      <c r="B12" s="2"/>
      <c r="F12" s="12">
        <v>46230</v>
      </c>
    </row>
    <row r="13" spans="1:6" ht="15">
      <c r="A13" s="11" t="s">
        <v>33</v>
      </c>
      <c r="B13" s="11" t="s">
        <v>744</v>
      </c>
      <c r="F13" s="12">
        <v>46231</v>
      </c>
    </row>
    <row r="14" spans="1:6">
      <c r="A14" s="2" t="s">
        <v>42</v>
      </c>
      <c r="B14" s="2" t="s">
        <v>745</v>
      </c>
      <c r="F14" s="12">
        <v>46232</v>
      </c>
    </row>
    <row r="15" spans="1:6">
      <c r="A15" s="2" t="s">
        <v>48</v>
      </c>
      <c r="B15" s="2" t="s">
        <v>746</v>
      </c>
      <c r="F15" s="12">
        <v>46233</v>
      </c>
    </row>
    <row r="16" spans="1:6">
      <c r="A16" s="2" t="s">
        <v>95</v>
      </c>
      <c r="B16" s="2" t="s">
        <v>747</v>
      </c>
      <c r="F16" s="12">
        <v>46234</v>
      </c>
    </row>
    <row r="17" spans="1:6">
      <c r="F17" s="12">
        <v>46235</v>
      </c>
    </row>
    <row r="18" spans="1:6">
      <c r="A18" s="19" t="s">
        <v>748</v>
      </c>
      <c r="B18" s="19"/>
      <c r="C18" s="19"/>
      <c r="D18" s="19"/>
      <c r="F18" s="12">
        <v>46236</v>
      </c>
    </row>
    <row r="19" spans="1:6">
      <c r="A19" s="10"/>
      <c r="B19" s="10"/>
      <c r="C19" s="10"/>
      <c r="D19" s="10"/>
      <c r="F19" s="12">
        <v>46237</v>
      </c>
    </row>
    <row r="20" spans="1:6">
      <c r="F20" s="12">
        <v>46238</v>
      </c>
    </row>
    <row r="21" spans="1:6">
      <c r="F21" s="12">
        <v>46239</v>
      </c>
    </row>
    <row r="22" spans="1:6">
      <c r="F22" s="12">
        <v>46240</v>
      </c>
    </row>
    <row r="23" spans="1:6">
      <c r="F23" s="12">
        <v>46241</v>
      </c>
    </row>
    <row r="24" spans="1:6">
      <c r="F24" s="12">
        <v>46242</v>
      </c>
    </row>
    <row r="25" spans="1:6">
      <c r="F25" s="12">
        <v>46243</v>
      </c>
    </row>
    <row r="26" spans="1:6">
      <c r="F26" s="12">
        <v>46244</v>
      </c>
    </row>
    <row r="27" spans="1:6">
      <c r="F27" s="12">
        <v>46245</v>
      </c>
    </row>
    <row r="28" spans="1:6">
      <c r="F28" s="12">
        <v>46246</v>
      </c>
    </row>
    <row r="29" spans="1:6">
      <c r="F29" s="12">
        <v>46247</v>
      </c>
    </row>
    <row r="30" spans="1:6">
      <c r="F30" s="12">
        <v>46248</v>
      </c>
    </row>
    <row r="31" spans="1:6">
      <c r="F31" s="12">
        <v>46249</v>
      </c>
    </row>
    <row r="32" spans="1:6">
      <c r="F32" s="12">
        <v>46250</v>
      </c>
    </row>
    <row r="33" spans="6:6">
      <c r="F33" s="12">
        <v>46251</v>
      </c>
    </row>
    <row r="34" spans="6:6">
      <c r="F34" s="12">
        <v>46252</v>
      </c>
    </row>
    <row r="35" spans="6:6">
      <c r="F35" s="12">
        <v>46253</v>
      </c>
    </row>
  </sheetData>
  <mergeCells count="2">
    <mergeCell ref="A1:D2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Fase 1</vt:lpstr>
      <vt:lpstr>Fase 2</vt:lpstr>
      <vt:lpstr>Transversales y entrega</vt:lpstr>
      <vt:lpstr>Guía de validación</vt:lpstr>
      <vt:lpstr>Catálogos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Arenas Martinez</cp:lastModifiedBy>
  <dcterms:modified xsi:type="dcterms:W3CDTF">2026-08-04T11:25:14Z</dcterms:modified>
</cp:coreProperties>
</file>